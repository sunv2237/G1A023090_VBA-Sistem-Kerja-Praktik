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ANDERSONT\UNIB\KP MAGANG\VBA\"/>
    </mc:Choice>
  </mc:AlternateContent>
  <xr:revisionPtr revIDLastSave="0" documentId="13_ncr:1_{6AB16F5D-B357-4A3A-AC6A-C9767394BC4F}" xr6:coauthVersionLast="47" xr6:coauthVersionMax="47" xr10:uidLastSave="{00000000-0000-0000-0000-000000000000}"/>
  <bookViews>
    <workbookView xWindow="-108" yWindow="-108" windowWidth="23256" windowHeight="12456" xr2:uid="{A09EAFF6-2738-4F3A-990C-A4A848A2856F}"/>
  </bookViews>
  <sheets>
    <sheet name="Database" sheetId="1" r:id="rId1"/>
    <sheet name="Filter" sheetId="2" r:id="rId2"/>
    <sheet name="ComboBox" sheetId="3" r:id="rId3"/>
  </sheets>
  <functionGroups builtInGroupCount="19"/>
  <definedNames>
    <definedName name="_xlnm._FilterDatabase" localSheetId="0" hidden="1">Database!$B$4:$M$14</definedName>
    <definedName name="_xlnm.Criteria" localSheetId="1">Filter!$A$1:$B$2</definedName>
    <definedName name="_xlnm.Extract" localSheetId="1">Filter!$A$6:$L$6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" l="1"/>
  <c r="B5" i="1"/>
  <c r="B13" i="1"/>
  <c r="B12" i="1"/>
  <c r="B11" i="1"/>
  <c r="B10" i="1"/>
  <c r="B7" i="1"/>
  <c r="B8" i="1"/>
  <c r="B9" i="1"/>
  <c r="B6" i="1"/>
  <c r="E6" i="2"/>
  <c r="D6" i="2"/>
  <c r="C6" i="2"/>
  <c r="B6" i="2"/>
  <c r="A6" i="2"/>
</calcChain>
</file>

<file path=xl/sharedStrings.xml><?xml version="1.0" encoding="utf-8"?>
<sst xmlns="http://schemas.openxmlformats.org/spreadsheetml/2006/main" count="647" uniqueCount="311">
  <si>
    <t>BPMP PROVINSI BENGKULU</t>
  </si>
  <si>
    <t>NO</t>
  </si>
  <si>
    <t>Nama Pegawai</t>
  </si>
  <si>
    <t>NIP</t>
  </si>
  <si>
    <t>Pangkat</t>
  </si>
  <si>
    <t>No.</t>
  </si>
  <si>
    <t>V</t>
  </si>
  <si>
    <t>Asal Surat</t>
  </si>
  <si>
    <t>Tanggal Surat</t>
  </si>
  <si>
    <t>Hal Surat</t>
  </si>
  <si>
    <t>Nomor Surat Asal</t>
  </si>
  <si>
    <t>Nomor Surat Tugas</t>
  </si>
  <si>
    <t>Dikbud</t>
  </si>
  <si>
    <t>Undangan</t>
  </si>
  <si>
    <t>Undangan Rapat</t>
  </si>
  <si>
    <t>Nama</t>
  </si>
  <si>
    <t>Jabatan Baru</t>
  </si>
  <si>
    <t>Sabura Soe'oed Putra, S.E., M.Si.</t>
  </si>
  <si>
    <t>197302022006041025</t>
  </si>
  <si>
    <t xml:space="preserve">Pembina, IV/a </t>
  </si>
  <si>
    <t xml:space="preserve">Kepala </t>
  </si>
  <si>
    <t>Hamlan Siregar, S.Pd., M.Pd.</t>
  </si>
  <si>
    <t>197610102001121003</t>
  </si>
  <si>
    <t>Kasubbag Umum</t>
  </si>
  <si>
    <t>Afriyanti, S.P., M.Pd.</t>
  </si>
  <si>
    <t>197104132000122002</t>
  </si>
  <si>
    <t>Pembina Utama Muda, IV/c</t>
  </si>
  <si>
    <t>Widyaprada Ahli Madya</t>
  </si>
  <si>
    <t>Dra. Ngatiningsih, M.Pd.</t>
  </si>
  <si>
    <t>196611052000122001</t>
  </si>
  <si>
    <t>Drs. Zulkifli</t>
  </si>
  <si>
    <t>196604031993031005</t>
  </si>
  <si>
    <t>Elly Harviany, M.Pd.</t>
  </si>
  <si>
    <t>196805071995122002</t>
  </si>
  <si>
    <t>Elvi Triana Rachmaningsih, S.Pd., M.Pd.</t>
  </si>
  <si>
    <t>197009152000122002</t>
  </si>
  <si>
    <t>Ir. Yeny Setyati, M.Pd.</t>
  </si>
  <si>
    <t>196707142000122001</t>
  </si>
  <si>
    <t>Murhin, S.Pd.</t>
  </si>
  <si>
    <t>196607061991021001</t>
  </si>
  <si>
    <t>Nyimas Masrita, S.Pd., M.Pd.</t>
  </si>
  <si>
    <t>197106102000122002</t>
  </si>
  <si>
    <t>Widodo, S.Pd., M.Pd</t>
  </si>
  <si>
    <t>196801152000121001</t>
  </si>
  <si>
    <t>Nurhayati, M.Pd.</t>
  </si>
  <si>
    <t>196901011989022001</t>
  </si>
  <si>
    <t>Pembina Tk I, IV/b</t>
  </si>
  <si>
    <t>Rimayanti Z, S.Pd., M.Pd</t>
  </si>
  <si>
    <t>197205222001122001</t>
  </si>
  <si>
    <t>Sugeng Triyono, S.Sos., M.Pd.</t>
  </si>
  <si>
    <t>196803081990031005</t>
  </si>
  <si>
    <t>Pembina, IV/a</t>
  </si>
  <si>
    <t>Dr.M. Komarudin, S.Pd., M.Pd.</t>
  </si>
  <si>
    <t>197404172003121002</t>
  </si>
  <si>
    <t>Penata Tk I, III/d</t>
  </si>
  <si>
    <t>Ery Sumita, S.Pd.</t>
  </si>
  <si>
    <t>197507272000121004</t>
  </si>
  <si>
    <t>Tuty Ramadhanti, S.E., M.M.</t>
  </si>
  <si>
    <t>197708162001122001</t>
  </si>
  <si>
    <t>Rusmanto, S.Kom., M.TPd.</t>
  </si>
  <si>
    <t>198110252005011001</t>
  </si>
  <si>
    <t>Widyaprada Ahli Muda</t>
  </si>
  <si>
    <t>Nopimin, S.E., M.M.</t>
  </si>
  <si>
    <t>197006202002121001</t>
  </si>
  <si>
    <t>Dwi Kusuma Yuniarti, S.Sos., M.Si.</t>
  </si>
  <si>
    <t>197606232001122001</t>
  </si>
  <si>
    <t>Rice Wira Gustian, S.Kom., M.Pd</t>
  </si>
  <si>
    <t>197901182005011001</t>
  </si>
  <si>
    <t>Susila Rahmi, S.Pd. M.Pd.</t>
  </si>
  <si>
    <t>197212132002122002</t>
  </si>
  <si>
    <t>Sony Martha Kusuma Sari, S.Pd., M.Pd.</t>
  </si>
  <si>
    <t>197803012001121002</t>
  </si>
  <si>
    <t>Kurnia Puspita, S. Pd., M.Pd</t>
  </si>
  <si>
    <t>198504022011012010</t>
  </si>
  <si>
    <t>Meuthia Dewi Fitriany, S.Pd, M.Pd</t>
  </si>
  <si>
    <t>198406302009032004</t>
  </si>
  <si>
    <t>Penata Muda Tk I, III/b</t>
  </si>
  <si>
    <t>Widyaprada Ahli Pertama</t>
  </si>
  <si>
    <t>Edy Suhartono, S.Kom.</t>
  </si>
  <si>
    <t>197909232002121002</t>
  </si>
  <si>
    <t>Indriana, S.Kom.</t>
  </si>
  <si>
    <t>198102132002122001</t>
  </si>
  <si>
    <t>Rose Mawati, S.Si., M.Si.</t>
  </si>
  <si>
    <t>198810292015042004</t>
  </si>
  <si>
    <t>Eli Yani, S.E., M.E.</t>
  </si>
  <si>
    <t>198501212010012014</t>
  </si>
  <si>
    <t>Yuli Indra Cahya, S.T., M.M.</t>
  </si>
  <si>
    <t>197607152003121002</t>
  </si>
  <si>
    <t>Perencana Ahli Pertama</t>
  </si>
  <si>
    <t>Devi Andriani, S.Si.</t>
  </si>
  <si>
    <t>197912032003122002</t>
  </si>
  <si>
    <t>Arsiparis Ahli Pertama</t>
  </si>
  <si>
    <t>Khairul Walad, S.Kom., M.Si.</t>
  </si>
  <si>
    <t>197612262002121003</t>
  </si>
  <si>
    <t>M. Ikhsan  Kurniawan, S.E.</t>
  </si>
  <si>
    <t>198603172014091003</t>
  </si>
  <si>
    <t>Pranata Keuangan APBN Mahir</t>
  </si>
  <si>
    <t>Indri Djon Hansemit, S.T.</t>
  </si>
  <si>
    <t>199109292024212061</t>
  </si>
  <si>
    <t>Penata Muda III/a/ IX</t>
  </si>
  <si>
    <t>Pranata Komputer Ahli Pertama</t>
  </si>
  <si>
    <t>Ashari Marwanto, S.Pd., M.TPd.</t>
  </si>
  <si>
    <t>197503282002121001</t>
  </si>
  <si>
    <t>Penelaah Teknis Kebijakan</t>
  </si>
  <si>
    <t>Miftah Farid, S.Pd., M.Pd.</t>
  </si>
  <si>
    <t>197505032003121002</t>
  </si>
  <si>
    <t>Sukimanjoyo, S.Sos. M.M.</t>
  </si>
  <si>
    <t>197404081994031003</t>
  </si>
  <si>
    <t>Yustianingsih, S.Pd., M.Pd.</t>
  </si>
  <si>
    <t>197705122003122001</t>
  </si>
  <si>
    <t>Alfian Joni, S.Pd.</t>
  </si>
  <si>
    <t>197406092005011003</t>
  </si>
  <si>
    <t>Denny Heriyanto, S.Pd.</t>
  </si>
  <si>
    <t>197512092001121001</t>
  </si>
  <si>
    <t>Edward Kennedy, S.E.</t>
  </si>
  <si>
    <t>197606272002121003</t>
  </si>
  <si>
    <t>Nazarjo, S.H., M.H.</t>
  </si>
  <si>
    <t>198102092002121003</t>
  </si>
  <si>
    <t>Amalia Astri, S.Pd., M.M.</t>
  </si>
  <si>
    <t>197901242003122001</t>
  </si>
  <si>
    <t>Anova Luska Rosita, S.E.</t>
  </si>
  <si>
    <t>198202222005012003</t>
  </si>
  <si>
    <t>Bayu Hartini, S.Sos. M. Si.</t>
  </si>
  <si>
    <t>197310161993122001</t>
  </si>
  <si>
    <t>Dosi Elyana, S.Pd. M.M.</t>
  </si>
  <si>
    <t>198105282003122002</t>
  </si>
  <si>
    <t>Elis Heni Nurhasanah, S.Sos.</t>
  </si>
  <si>
    <t>197704272003122001</t>
  </si>
  <si>
    <t>Lepia Minarni, S.E., M.Pd.</t>
  </si>
  <si>
    <t>197004261992032008</t>
  </si>
  <si>
    <t>Devi Hidayat, S.T.</t>
  </si>
  <si>
    <t>197711152003121003</t>
  </si>
  <si>
    <t>Pengelola Sistem dan Teknologi Informasi</t>
  </si>
  <si>
    <t>Erfi Susanti, S.Pd., M.Pd.</t>
  </si>
  <si>
    <t>197808052003122002</t>
  </si>
  <si>
    <t>Penelaah Informasi dan Komunikasi Publik</t>
  </si>
  <si>
    <t>Sinardin, S.Kom.</t>
  </si>
  <si>
    <t>197607062002121005</t>
  </si>
  <si>
    <t>Asrul, S.Pd., M.Si.</t>
  </si>
  <si>
    <t>197510152003121003</t>
  </si>
  <si>
    <t>Pengolah Data dan Informasi</t>
  </si>
  <si>
    <t>Farita Yani, S.T.</t>
  </si>
  <si>
    <t>197301242005012001</t>
  </si>
  <si>
    <t>Fathoni Hidayat, S.E.</t>
  </si>
  <si>
    <t>198102112008011008</t>
  </si>
  <si>
    <t>Lihamdi Kasman, S.E., M.Pd.</t>
  </si>
  <si>
    <t>197202052001121001</t>
  </si>
  <si>
    <t>Selamat Sudarmanjaya, S.S., M.A.</t>
  </si>
  <si>
    <t>197303052003121013</t>
  </si>
  <si>
    <t>Mayza Listuti, S.Kom.</t>
  </si>
  <si>
    <t>197705172001122002</t>
  </si>
  <si>
    <t>Rosya Hastaryta, S.Si.</t>
  </si>
  <si>
    <t>198306152008012007</t>
  </si>
  <si>
    <t>Sofian, S.IP., M.Si.</t>
  </si>
  <si>
    <t>198309122002121004</t>
  </si>
  <si>
    <t>Syafron Erdi, S.Psi.</t>
  </si>
  <si>
    <t>197707292003121002</t>
  </si>
  <si>
    <t>Syahrul, S.T.</t>
  </si>
  <si>
    <t>198111022010121003</t>
  </si>
  <si>
    <t>Yeyen Gusnitaria, S.T.</t>
  </si>
  <si>
    <t>198201042005012004</t>
  </si>
  <si>
    <t>Ahmadi, S.Pd.</t>
  </si>
  <si>
    <t>196806082003121001</t>
  </si>
  <si>
    <t>Elma Susanti, S.Pd.</t>
  </si>
  <si>
    <t>197502192005012001</t>
  </si>
  <si>
    <t>Maya Regina, S.T.</t>
  </si>
  <si>
    <t>198610192010122004</t>
  </si>
  <si>
    <t>Nelly Wahyuni, S.Pd.</t>
  </si>
  <si>
    <t>198205152002122002</t>
  </si>
  <si>
    <t>Dina Maryana, S.Pd., M.Pd., M.TPd.</t>
  </si>
  <si>
    <t>198303232014072001</t>
  </si>
  <si>
    <t>Penata, III/c</t>
  </si>
  <si>
    <t>Sari Esa Putri, S.Kep.</t>
  </si>
  <si>
    <t>198809062010122004</t>
  </si>
  <si>
    <t>Penata Layanan Kesehatan</t>
  </si>
  <si>
    <t>Erwin Efiansyah, M.TPd.</t>
  </si>
  <si>
    <t>197009242001121001</t>
  </si>
  <si>
    <t>Teknisi Sarana dan Prasarana</t>
  </si>
  <si>
    <t>Idwandra</t>
  </si>
  <si>
    <t>198203232005011001</t>
  </si>
  <si>
    <t>Penata Muda Tk. I, III/b</t>
  </si>
  <si>
    <t>Pengadministrasi Perkantoran</t>
  </si>
  <si>
    <t>Thomi Hutari, S.Sos.</t>
  </si>
  <si>
    <t>196905271991021001</t>
  </si>
  <si>
    <t>Een Ruziandi, S.Pd.I., S.Pd., M.A.P</t>
  </si>
  <si>
    <t>19860317201101 1008</t>
  </si>
  <si>
    <t>Rihus Rawili</t>
  </si>
  <si>
    <t>197912092007102001</t>
  </si>
  <si>
    <t>Penata Muda, III/a</t>
  </si>
  <si>
    <t>Erawati</t>
  </si>
  <si>
    <t>198006252008102001</t>
  </si>
  <si>
    <t>Pengatur Tk.I, II/d</t>
  </si>
  <si>
    <t>Tansri Herlan</t>
  </si>
  <si>
    <t>196810012008101001</t>
  </si>
  <si>
    <t>Feri Muharam</t>
  </si>
  <si>
    <t>197302072008101001</t>
  </si>
  <si>
    <t>Juru Tk I, I/d</t>
  </si>
  <si>
    <t>Operator Layanan Operasional #</t>
  </si>
  <si>
    <t>Herman</t>
  </si>
  <si>
    <t>198307182009101001</t>
  </si>
  <si>
    <t>Pengatur Muda Tk I</t>
  </si>
  <si>
    <t>R. Haryadi</t>
  </si>
  <si>
    <t>197506092008101001</t>
  </si>
  <si>
    <t>Pengatur, II/c</t>
  </si>
  <si>
    <t>Supardi</t>
  </si>
  <si>
    <t>197209072008101001</t>
  </si>
  <si>
    <t>Pengatur Muda, II/a</t>
  </si>
  <si>
    <t>Ahmad Suandi</t>
  </si>
  <si>
    <t>197406252025211019</t>
  </si>
  <si>
    <t>Septa Nomilastri</t>
  </si>
  <si>
    <t>198609262025212034</t>
  </si>
  <si>
    <t>Andrio Fauzi</t>
  </si>
  <si>
    <t>199008012025211043</t>
  </si>
  <si>
    <t>Alfarozi</t>
  </si>
  <si>
    <t>199212302025211038</t>
  </si>
  <si>
    <t>Riki Damhudi</t>
  </si>
  <si>
    <t>199212072025211038</t>
  </si>
  <si>
    <t>Agus Muharso, A.Md</t>
  </si>
  <si>
    <t>198708292025211041</t>
  </si>
  <si>
    <t>VII</t>
  </si>
  <si>
    <t>Pengelola Layanan Operasional</t>
  </si>
  <si>
    <t>Krisnayani, SS</t>
  </si>
  <si>
    <t>198710102025212082</t>
  </si>
  <si>
    <t>IX</t>
  </si>
  <si>
    <t>Penata Layanan Operasional</t>
  </si>
  <si>
    <t>Rizka Novitasari, S.Pd.</t>
  </si>
  <si>
    <t>198711162025212044</t>
  </si>
  <si>
    <t>Titik Fitria Handayani, S.I.Kom.</t>
  </si>
  <si>
    <t>198108012025212025</t>
  </si>
  <si>
    <t>Sutiyono</t>
  </si>
  <si>
    <t>198509192025211038</t>
  </si>
  <si>
    <t>Operator Layanan Operasional</t>
  </si>
  <si>
    <t>Jauhari Efendi</t>
  </si>
  <si>
    <t>197712242025211014</t>
  </si>
  <si>
    <t>Andrian Andani</t>
  </si>
  <si>
    <t>199604082025211040</t>
  </si>
  <si>
    <t>Suhendro</t>
  </si>
  <si>
    <t>199105312025211037</t>
  </si>
  <si>
    <t>Alansyah Putra Lubis</t>
  </si>
  <si>
    <t>199110102025211070</t>
  </si>
  <si>
    <t>Oki Nurmansyah</t>
  </si>
  <si>
    <t>199405282025211036</t>
  </si>
  <si>
    <t>Pengki Alex Sander</t>
  </si>
  <si>
    <t>199608222025211032</t>
  </si>
  <si>
    <t>Wendi Alpianto</t>
  </si>
  <si>
    <t>197712152025211020</t>
  </si>
  <si>
    <t>Sarino</t>
  </si>
  <si>
    <t>197603252025211023</t>
  </si>
  <si>
    <t>I</t>
  </si>
  <si>
    <t>Pengelola Umum Operasional</t>
  </si>
  <si>
    <t>Sudarko</t>
  </si>
  <si>
    <t>198301082025211027</t>
  </si>
  <si>
    <t>Esti Nengsi</t>
  </si>
  <si>
    <t>196911102025212010</t>
  </si>
  <si>
    <t>Ruslan Effendi</t>
  </si>
  <si>
    <t>198202012025211047</t>
  </si>
  <si>
    <t>123456789</t>
  </si>
  <si>
    <t>12/05/2025</t>
  </si>
  <si>
    <t>1234511234</t>
  </si>
  <si>
    <t>123451234</t>
  </si>
  <si>
    <t>1234567899</t>
  </si>
  <si>
    <t>Tanggal Pelaksanaan</t>
  </si>
  <si>
    <t>Nama Kegiatan</t>
  </si>
  <si>
    <t>Tempat Kegiatan</t>
  </si>
  <si>
    <t>Tanggal pelaksanaan</t>
  </si>
  <si>
    <t>Rapat</t>
  </si>
  <si>
    <t>Jakarta</t>
  </si>
  <si>
    <t>12 April - 19 April 2026</t>
  </si>
  <si>
    <t>0912345678</t>
  </si>
  <si>
    <t>1256787654</t>
  </si>
  <si>
    <t>011-12-2025</t>
  </si>
  <si>
    <t>01-15-2026</t>
  </si>
  <si>
    <t>Ulang Tahun BPS</t>
  </si>
  <si>
    <t>12346512890</t>
  </si>
  <si>
    <t>BPBD</t>
  </si>
  <si>
    <t>12345678978</t>
  </si>
  <si>
    <t>09-2-2026</t>
  </si>
  <si>
    <t>22-2-2026</t>
  </si>
  <si>
    <t>Palembang</t>
  </si>
  <si>
    <t>BPS Kota Padang</t>
  </si>
  <si>
    <t>Padang</t>
  </si>
  <si>
    <t>12-12-2025</t>
  </si>
  <si>
    <t>02-3-2026</t>
  </si>
  <si>
    <t>12-09-2025</t>
  </si>
  <si>
    <t>15-10-2026</t>
  </si>
  <si>
    <t>123445676711</t>
  </si>
  <si>
    <t>BPMP Jakarta</t>
  </si>
  <si>
    <t>126789034561</t>
  </si>
  <si>
    <t>02-2-2026</t>
  </si>
  <si>
    <t>17-2-2026</t>
  </si>
  <si>
    <t>Rapat BPMP</t>
  </si>
  <si>
    <t>120987345676</t>
  </si>
  <si>
    <t>DIKBUD</t>
  </si>
  <si>
    <t>028953454724</t>
  </si>
  <si>
    <t>09-1-2026</t>
  </si>
  <si>
    <t>25-1-2026</t>
  </si>
  <si>
    <t xml:space="preserve">Rapat </t>
  </si>
  <si>
    <t>091254321785</t>
  </si>
  <si>
    <t>BPMP Palembang</t>
  </si>
  <si>
    <t>234589823695</t>
  </si>
  <si>
    <t>16-3-2026</t>
  </si>
  <si>
    <t>Pertemuan BPMP Wilayah</t>
  </si>
  <si>
    <t>092199831984</t>
  </si>
  <si>
    <t>125678954335</t>
  </si>
  <si>
    <t>18-1-2026</t>
  </si>
  <si>
    <t>5-2-2026</t>
  </si>
  <si>
    <t>Bengkulu</t>
  </si>
  <si>
    <t>123468763123</t>
  </si>
  <si>
    <t>241748539722</t>
  </si>
  <si>
    <t>undangan</t>
  </si>
  <si>
    <t>17-12-2025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</si>
</sst>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m\ yyyy"/>
  </numFmts>
  <fonts count="8" x14ac:knownFonts="1">
    <font>
      <sz val="11"/>
      <color theme="1"/>
      <name val="Aptos Narrow"/>
      <family val="2"/>
      <charset val="1"/>
      <scheme val="minor"/>
    </font>
    <font>
      <sz val="12"/>
      <color theme="1"/>
      <name val="Times New Roman"/>
      <family val="1"/>
    </font>
    <font>
      <sz val="8"/>
      <name val="Aptos Narrow"/>
      <family val="2"/>
      <charset val="1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Aptos Narrow"/>
      <family val="2"/>
      <scheme val="minor"/>
    </font>
    <font>
      <sz val="11"/>
      <name val="Times New Roman"/>
      <family val="1"/>
    </font>
    <font>
      <sz val="11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24">
    <xf numFmtId="0" fontId="0" fillId="0" borderId="0" xfId="0"/>
    <xf numFmtId="0" fontId="1" fillId="0" borderId="0" xfId="0" applyFont="1" applyAlignment="1">
      <alignment horizontal="center"/>
    </xf>
    <xf numFmtId="0" fontId="3" fillId="0" borderId="0" xfId="0" applyFont="1"/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6" fillId="0" borderId="1" xfId="1" applyFont="1" applyBorder="1" applyAlignment="1">
      <alignment horizontal="left" vertical="top" wrapText="1"/>
    </xf>
    <xf numFmtId="49" fontId="6" fillId="0" borderId="1" xfId="0" applyNumberFormat="1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/>
    </xf>
    <xf numFmtId="14" fontId="6" fillId="0" borderId="1" xfId="0" applyNumberFormat="1" applyFont="1" applyBorder="1" applyAlignment="1">
      <alignment horizontal="left" vertical="top" wrapText="1"/>
    </xf>
    <xf numFmtId="0" fontId="6" fillId="0" borderId="1" xfId="0" quotePrefix="1" applyFont="1" applyBorder="1" applyAlignment="1">
      <alignment horizontal="left" vertical="top"/>
    </xf>
    <xf numFmtId="49" fontId="6" fillId="0" borderId="1" xfId="0" quotePrefix="1" applyNumberFormat="1" applyFont="1" applyBorder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6" fillId="0" borderId="1" xfId="0" applyFont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left" vertical="top"/>
    </xf>
    <xf numFmtId="164" fontId="3" fillId="0" borderId="1" xfId="0" applyNumberFormat="1" applyFont="1" applyBorder="1" applyAlignment="1">
      <alignment horizontal="left" vertical="top" wrapText="1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left"/>
    </xf>
    <xf numFmtId="0" fontId="7" fillId="0" borderId="1" xfId="0" applyFont="1" applyBorder="1" applyAlignment="1">
      <alignment horizontal="center" vertical="top"/>
    </xf>
    <xf numFmtId="0" fontId="7" fillId="0" borderId="1" xfId="0" applyFont="1" applyBorder="1" applyAlignment="1">
      <alignment horizontal="left" vertical="top"/>
    </xf>
  </cellXfs>
  <cellStyles count="2">
    <cellStyle name="Normal" xfId="0" builtinId="0"/>
    <cellStyle name="Normal 3" xfId="1" xr:uid="{3DFD0614-5C75-4F70-B86D-DF187B22E4F1}"/>
  </cellStyles>
  <dxfs count="14"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192156</xdr:colOff>
      <xdr:row>0</xdr:row>
      <xdr:rowOff>61656</xdr:rowOff>
    </xdr:from>
    <xdr:to>
      <xdr:col>5</xdr:col>
      <xdr:colOff>1159763</xdr:colOff>
      <xdr:row>0</xdr:row>
      <xdr:rowOff>299211</xdr:rowOff>
    </xdr:to>
    <xdr:sp macro="[0]!tampi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38F1CB0-ACCF-E2B6-757C-ED03B7885E39}"/>
            </a:ext>
          </a:extLst>
        </xdr:cNvPr>
        <xdr:cNvSpPr/>
      </xdr:nvSpPr>
      <xdr:spPr>
        <a:xfrm>
          <a:off x="5015947" y="61656"/>
          <a:ext cx="967607" cy="237555"/>
        </a:xfrm>
        <a:prstGeom prst="roundRect">
          <a:avLst>
            <a:gd name="adj" fmla="val 50000"/>
          </a:avLst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d-ID" sz="1100"/>
            <a:t>FORM</a:t>
          </a:r>
          <a:r>
            <a:rPr lang="id-ID" sz="1100" baseline="0"/>
            <a:t> INPUT</a:t>
          </a:r>
          <a:endParaRPr lang="id-ID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C33E74-ACC9-43DC-B393-2E1A463EAA7C}" name="Table1" displayName="Table1" ref="B4:M14" totalsRowShown="0" headerRowDxfId="13" dataDxfId="12">
  <tableColumns count="12">
    <tableColumn id="1" xr3:uid="{CC68F100-B510-4198-AF94-E898327324CB}" name="NO" dataDxfId="11">
      <calculatedColumnFormula>ROW()-4</calculatedColumnFormula>
    </tableColumn>
    <tableColumn id="2" xr3:uid="{AE7F90C7-6042-4204-A6F6-0A76ADDD269A}" name="Nama Pegawai" dataDxfId="10"/>
    <tableColumn id="3" xr3:uid="{8ED5BB15-77E1-4172-90CA-959A102F65E6}" name="NIP" dataDxfId="9"/>
    <tableColumn id="4" xr3:uid="{362005E2-5528-46CC-89AF-00F8C0606D33}" name="Pangkat" dataDxfId="8"/>
    <tableColumn id="5" xr3:uid="{0E63C7FD-10B4-4EBD-89A7-27855943439E}" name="Nomor Surat Asal" dataDxfId="7"/>
    <tableColumn id="6" xr3:uid="{ECFFAF8E-94F6-4DAF-83C0-46D43C7F44B3}" name="Asal Surat" dataDxfId="6"/>
    <tableColumn id="7" xr3:uid="{426D1D8E-18DF-4583-9A11-11335FA32638}" name="Nomor Surat Tugas" dataDxfId="5"/>
    <tableColumn id="8" xr3:uid="{17AAF24C-769C-4176-87E1-7FD812B83C65}" name="Tanggal Surat" dataDxfId="4"/>
    <tableColumn id="9" xr3:uid="{6CD399C0-013D-4760-87D3-841C7EC23952}" name="Hal Surat" dataDxfId="3"/>
    <tableColumn id="10" xr3:uid="{AD62E5A4-3A22-42B6-8B34-EA3823825775}" name="Tanggal Pelaksanaan" dataDxfId="2"/>
    <tableColumn id="11" xr3:uid="{46011749-84CF-43C5-ADC1-563777866104}" name="Nama Kegiatan" dataDxfId="1"/>
    <tableColumn id="12" xr3:uid="{8F4D1CDB-E534-47A7-A814-6DA362963194}" name="Tempat Kegiatan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C97AB-6290-4C53-936C-5410E1933B9E}">
  <sheetPr codeName="Sheet1"/>
  <dimension ref="B1:M14"/>
  <sheetViews>
    <sheetView tabSelected="1" zoomScale="70" zoomScaleNormal="70" workbookViewId="0">
      <selection activeCell="G2" sqref="G2"/>
    </sheetView>
  </sheetViews>
  <sheetFormatPr defaultRowHeight="15.6" x14ac:dyDescent="0.3"/>
  <cols>
    <col min="1" max="1" width="3.88671875" style="1" customWidth="1"/>
    <col min="2" max="2" width="6.33203125" style="1" customWidth="1"/>
    <col min="3" max="3" width="31.77734375" style="1" customWidth="1"/>
    <col min="4" max="4" width="25.21875" style="1" customWidth="1"/>
    <col min="5" max="5" width="18.77734375" style="1" customWidth="1"/>
    <col min="6" max="6" width="19.33203125" style="1" customWidth="1"/>
    <col min="7" max="7" width="19.21875" style="1" customWidth="1"/>
    <col min="8" max="8" width="22.21875" style="1" customWidth="1"/>
    <col min="9" max="9" width="16.5546875" style="1" customWidth="1"/>
    <col min="10" max="10" width="19.33203125" style="1" customWidth="1"/>
    <col min="11" max="11" width="26.77734375" style="1" customWidth="1"/>
    <col min="12" max="12" width="22.88671875" style="1" customWidth="1"/>
    <col min="13" max="13" width="26.88671875" style="1" customWidth="1"/>
    <col min="14" max="16384" width="8.88671875" style="1"/>
  </cols>
  <sheetData>
    <row r="1" spans="2:13" x14ac:dyDescent="0.3">
      <c r="B1" s="4"/>
      <c r="C1" s="4" t="s">
        <v>0</v>
      </c>
      <c r="D1" s="4"/>
      <c r="E1" s="4"/>
      <c r="F1" s="5"/>
    </row>
    <row r="3" spans="2:13" x14ac:dyDescent="0.3">
      <c r="B3" s="3"/>
      <c r="C3" s="3"/>
      <c r="D3" s="3"/>
      <c r="E3" s="3"/>
      <c r="F3" s="3"/>
    </row>
    <row r="4" spans="2:13" x14ac:dyDescent="0.3">
      <c r="B4" s="1" t="s">
        <v>1</v>
      </c>
      <c r="C4" s="1" t="s">
        <v>2</v>
      </c>
      <c r="D4" s="1" t="s">
        <v>3</v>
      </c>
      <c r="E4" s="1" t="s">
        <v>4</v>
      </c>
      <c r="F4" s="1" t="s">
        <v>10</v>
      </c>
      <c r="G4" s="1" t="s">
        <v>7</v>
      </c>
      <c r="H4" s="1" t="s">
        <v>11</v>
      </c>
      <c r="I4" s="1" t="s">
        <v>8</v>
      </c>
      <c r="J4" s="1" t="s">
        <v>9</v>
      </c>
      <c r="K4" s="1" t="s">
        <v>261</v>
      </c>
      <c r="L4" s="1" t="s">
        <v>262</v>
      </c>
      <c r="M4" s="1" t="s">
        <v>263</v>
      </c>
    </row>
    <row r="5" spans="2:13" x14ac:dyDescent="0.3">
      <c r="B5" s="1">
        <f>ROW()-4</f>
        <v>1</v>
      </c>
      <c r="C5" s="1" t="s">
        <v>118</v>
      </c>
      <c r="D5" s="1" t="s">
        <v>119</v>
      </c>
      <c r="E5" s="1" t="s">
        <v>51</v>
      </c>
      <c r="F5" s="1" t="s">
        <v>256</v>
      </c>
      <c r="G5" s="1" t="s">
        <v>12</v>
      </c>
      <c r="H5" s="1" t="s">
        <v>256</v>
      </c>
      <c r="I5" s="1" t="s">
        <v>281</v>
      </c>
      <c r="J5" s="1" t="s">
        <v>14</v>
      </c>
      <c r="K5" s="1" t="s">
        <v>282</v>
      </c>
      <c r="L5" s="1" t="s">
        <v>265</v>
      </c>
      <c r="M5" s="1" t="s">
        <v>306</v>
      </c>
    </row>
    <row r="6" spans="2:13" x14ac:dyDescent="0.3">
      <c r="B6" s="1">
        <f t="shared" ref="B6" si="0">ROW()-4</f>
        <v>2</v>
      </c>
      <c r="C6" s="1" t="s">
        <v>252</v>
      </c>
      <c r="D6" s="1" t="s">
        <v>253</v>
      </c>
      <c r="E6" s="1" t="s">
        <v>248</v>
      </c>
      <c r="F6" s="1" t="s">
        <v>258</v>
      </c>
      <c r="G6" s="1" t="s">
        <v>12</v>
      </c>
      <c r="H6" s="1" t="s">
        <v>259</v>
      </c>
      <c r="I6" s="1" t="s">
        <v>257</v>
      </c>
      <c r="J6" s="1" t="s">
        <v>13</v>
      </c>
      <c r="K6" s="1" t="s">
        <v>267</v>
      </c>
      <c r="L6" s="1" t="s">
        <v>265</v>
      </c>
      <c r="M6" s="1" t="s">
        <v>266</v>
      </c>
    </row>
    <row r="7" spans="2:13" x14ac:dyDescent="0.3">
      <c r="B7" s="1">
        <f t="shared" ref="B7:B13" si="1">ROW()-4</f>
        <v>3</v>
      </c>
      <c r="C7" s="1" t="s">
        <v>34</v>
      </c>
      <c r="D7" s="1" t="s">
        <v>35</v>
      </c>
      <c r="E7" s="1" t="s">
        <v>26</v>
      </c>
      <c r="F7" s="1" t="s">
        <v>260</v>
      </c>
      <c r="G7" s="1" t="s">
        <v>12</v>
      </c>
      <c r="H7" s="1" t="s">
        <v>260</v>
      </c>
      <c r="I7" s="1" t="s">
        <v>283</v>
      </c>
      <c r="J7" s="1" t="s">
        <v>13</v>
      </c>
      <c r="K7" s="1" t="s">
        <v>284</v>
      </c>
      <c r="L7" s="1" t="s">
        <v>265</v>
      </c>
      <c r="M7" s="1" t="s">
        <v>266</v>
      </c>
    </row>
    <row r="8" spans="2:13" x14ac:dyDescent="0.3">
      <c r="B8" s="1">
        <f t="shared" si="1"/>
        <v>4</v>
      </c>
      <c r="C8" s="1" t="s">
        <v>17</v>
      </c>
      <c r="D8" s="1" t="s">
        <v>18</v>
      </c>
      <c r="E8" s="1" t="s">
        <v>19</v>
      </c>
      <c r="F8" s="1" t="s">
        <v>268</v>
      </c>
      <c r="G8" s="1" t="s">
        <v>279</v>
      </c>
      <c r="H8" s="1" t="s">
        <v>269</v>
      </c>
      <c r="I8" s="1" t="s">
        <v>270</v>
      </c>
      <c r="J8" s="1" t="s">
        <v>13</v>
      </c>
      <c r="K8" s="1" t="s">
        <v>271</v>
      </c>
      <c r="L8" s="1" t="s">
        <v>272</v>
      </c>
      <c r="M8" s="1" t="s">
        <v>280</v>
      </c>
    </row>
    <row r="9" spans="2:13" x14ac:dyDescent="0.3">
      <c r="B9" s="1">
        <f t="shared" si="1"/>
        <v>5</v>
      </c>
      <c r="C9" s="1" t="s">
        <v>172</v>
      </c>
      <c r="D9" s="1" t="s">
        <v>173</v>
      </c>
      <c r="E9" s="1" t="s">
        <v>76</v>
      </c>
      <c r="F9" s="1" t="s">
        <v>273</v>
      </c>
      <c r="G9" s="1" t="s">
        <v>274</v>
      </c>
      <c r="H9" s="1" t="s">
        <v>275</v>
      </c>
      <c r="I9" s="1" t="s">
        <v>276</v>
      </c>
      <c r="J9" s="1" t="s">
        <v>13</v>
      </c>
      <c r="K9" s="1" t="s">
        <v>277</v>
      </c>
      <c r="L9" s="1" t="s">
        <v>265</v>
      </c>
      <c r="M9" s="1" t="s">
        <v>278</v>
      </c>
    </row>
    <row r="10" spans="2:13" x14ac:dyDescent="0.3">
      <c r="B10" s="1">
        <f t="shared" si="1"/>
        <v>6</v>
      </c>
      <c r="C10" s="1" t="s">
        <v>17</v>
      </c>
      <c r="D10" s="1" t="s">
        <v>18</v>
      </c>
      <c r="E10" s="1" t="s">
        <v>19</v>
      </c>
      <c r="F10" s="1" t="s">
        <v>285</v>
      </c>
      <c r="G10" s="1" t="s">
        <v>286</v>
      </c>
      <c r="H10" s="1" t="s">
        <v>287</v>
      </c>
      <c r="I10" s="1" t="s">
        <v>288</v>
      </c>
      <c r="J10" s="1" t="s">
        <v>13</v>
      </c>
      <c r="K10" s="1" t="s">
        <v>289</v>
      </c>
      <c r="L10" s="1" t="s">
        <v>290</v>
      </c>
      <c r="M10" s="1" t="s">
        <v>266</v>
      </c>
    </row>
    <row r="11" spans="2:13" x14ac:dyDescent="0.3">
      <c r="B11" s="1">
        <f t="shared" si="1"/>
        <v>7</v>
      </c>
      <c r="C11" s="1" t="s">
        <v>118</v>
      </c>
      <c r="D11" s="1" t="s">
        <v>119</v>
      </c>
      <c r="E11" s="1" t="s">
        <v>51</v>
      </c>
      <c r="F11" s="1" t="s">
        <v>291</v>
      </c>
      <c r="G11" s="1" t="s">
        <v>292</v>
      </c>
      <c r="H11" s="1" t="s">
        <v>293</v>
      </c>
      <c r="I11" s="1" t="s">
        <v>294</v>
      </c>
      <c r="J11" s="1" t="s">
        <v>13</v>
      </c>
      <c r="K11" s="1" t="s">
        <v>295</v>
      </c>
      <c r="L11" s="1" t="s">
        <v>296</v>
      </c>
      <c r="M11" s="1" t="s">
        <v>266</v>
      </c>
    </row>
    <row r="12" spans="2:13" x14ac:dyDescent="0.3">
      <c r="B12" s="1">
        <f t="shared" si="1"/>
        <v>8</v>
      </c>
      <c r="C12" s="1" t="s">
        <v>17</v>
      </c>
      <c r="D12" s="1" t="s">
        <v>18</v>
      </c>
      <c r="E12" s="1" t="s">
        <v>19</v>
      </c>
      <c r="F12" s="1" t="s">
        <v>297</v>
      </c>
      <c r="G12" s="1" t="s">
        <v>298</v>
      </c>
      <c r="H12" s="1" t="s">
        <v>299</v>
      </c>
      <c r="I12" s="1" t="s">
        <v>282</v>
      </c>
      <c r="J12" s="1" t="s">
        <v>13</v>
      </c>
      <c r="K12" s="1" t="s">
        <v>300</v>
      </c>
      <c r="L12" s="1" t="s">
        <v>301</v>
      </c>
      <c r="M12" s="1" t="s">
        <v>278</v>
      </c>
    </row>
    <row r="13" spans="2:13" x14ac:dyDescent="0.3">
      <c r="B13" s="1">
        <f t="shared" si="1"/>
        <v>9</v>
      </c>
      <c r="C13" s="1" t="s">
        <v>118</v>
      </c>
      <c r="D13" s="1" t="s">
        <v>119</v>
      </c>
      <c r="E13" s="1" t="s">
        <v>51</v>
      </c>
      <c r="F13" s="1" t="s">
        <v>302</v>
      </c>
      <c r="G13" s="1" t="s">
        <v>292</v>
      </c>
      <c r="H13" s="1" t="s">
        <v>303</v>
      </c>
      <c r="I13" s="1" t="s">
        <v>304</v>
      </c>
      <c r="J13" s="1" t="s">
        <v>13</v>
      </c>
      <c r="K13" s="1" t="s">
        <v>305</v>
      </c>
      <c r="L13" s="1" t="s">
        <v>265</v>
      </c>
      <c r="M13" s="1" t="s">
        <v>266</v>
      </c>
    </row>
    <row r="14" spans="2:13" x14ac:dyDescent="0.3">
      <c r="B14" s="1">
        <f>ROW()-4</f>
        <v>10</v>
      </c>
      <c r="C14" s="1" t="s">
        <v>21</v>
      </c>
      <c r="D14" s="1" t="s">
        <v>22</v>
      </c>
      <c r="E14" s="1" t="s">
        <v>19</v>
      </c>
      <c r="F14" s="1" t="s">
        <v>307</v>
      </c>
      <c r="G14" s="1" t="s">
        <v>286</v>
      </c>
      <c r="H14" s="1" t="s">
        <v>308</v>
      </c>
      <c r="I14" s="1" t="s">
        <v>281</v>
      </c>
      <c r="J14" s="1" t="s">
        <v>309</v>
      </c>
      <c r="K14" s="1" t="s">
        <v>310</v>
      </c>
      <c r="L14" s="1" t="s">
        <v>265</v>
      </c>
      <c r="M14" s="1" t="s">
        <v>266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EB94A-30C1-40D4-B793-1970DF8D57FB}">
  <sheetPr codeName="Sheet2"/>
  <dimension ref="A1:L18"/>
  <sheetViews>
    <sheetView zoomScale="70" zoomScaleNormal="70" workbookViewId="0">
      <selection activeCell="J17" sqref="J17"/>
    </sheetView>
  </sheetViews>
  <sheetFormatPr defaultRowHeight="14.4" x14ac:dyDescent="0.3"/>
  <cols>
    <col min="1" max="1" width="6.6640625" customWidth="1"/>
    <col min="2" max="2" width="13.6640625" customWidth="1"/>
    <col min="3" max="3" width="10.44140625" customWidth="1"/>
    <col min="4" max="4" width="11.109375" customWidth="1"/>
    <col min="5" max="5" width="15.88671875" customWidth="1"/>
    <col min="6" max="6" width="12.109375" customWidth="1"/>
    <col min="7" max="7" width="17.88671875" customWidth="1"/>
    <col min="8" max="8" width="14.77734375" customWidth="1"/>
    <col min="9" max="9" width="16.6640625" customWidth="1"/>
    <col min="10" max="10" width="19.21875" customWidth="1"/>
    <col min="11" max="11" width="17.33203125" customWidth="1"/>
    <col min="12" max="12" width="20.109375" customWidth="1"/>
  </cols>
  <sheetData>
    <row r="1" spans="1:12" x14ac:dyDescent="0.3">
      <c r="A1" t="s">
        <v>5</v>
      </c>
      <c r="B1" t="s">
        <v>2</v>
      </c>
    </row>
    <row r="6" spans="1:12" x14ac:dyDescent="0.3">
      <c r="A6" t="str">
        <f>Table1[[#Headers],[NO]]</f>
        <v>NO</v>
      </c>
      <c r="B6" t="str">
        <f>Table1[[#Headers],[Nama Pegawai]]</f>
        <v>Nama Pegawai</v>
      </c>
      <c r="C6" t="str">
        <f>Table1[[#Headers],[NIP]]</f>
        <v>NIP</v>
      </c>
      <c r="D6" t="str">
        <f>Table1[[#Headers],[Pangkat]]</f>
        <v>Pangkat</v>
      </c>
      <c r="E6" t="str">
        <f>Table1[[#Headers],[Nomor Surat Asal]]</f>
        <v>Nomor Surat Asal</v>
      </c>
      <c r="F6" t="s">
        <v>7</v>
      </c>
      <c r="G6" t="s">
        <v>11</v>
      </c>
      <c r="H6" t="s">
        <v>8</v>
      </c>
      <c r="I6" t="s">
        <v>9</v>
      </c>
      <c r="J6" t="s">
        <v>264</v>
      </c>
      <c r="K6" t="s">
        <v>262</v>
      </c>
      <c r="L6" t="s">
        <v>263</v>
      </c>
    </row>
    <row r="7" spans="1:12" ht="15.6" x14ac:dyDescent="0.3">
      <c r="A7" s="1">
        <v>1</v>
      </c>
      <c r="B7" s="1" t="s">
        <v>118</v>
      </c>
      <c r="C7" s="1" t="s">
        <v>119</v>
      </c>
      <c r="D7" s="1" t="s">
        <v>51</v>
      </c>
      <c r="E7" s="1" t="s">
        <v>256</v>
      </c>
      <c r="F7" s="1" t="s">
        <v>12</v>
      </c>
      <c r="G7" s="1" t="s">
        <v>256</v>
      </c>
      <c r="H7" s="1" t="s">
        <v>281</v>
      </c>
      <c r="I7" s="1" t="s">
        <v>14</v>
      </c>
      <c r="J7" s="1" t="s">
        <v>282</v>
      </c>
      <c r="K7" s="1" t="s">
        <v>265</v>
      </c>
      <c r="L7" s="1" t="s">
        <v>306</v>
      </c>
    </row>
    <row r="8" spans="1:12" ht="15.6" x14ac:dyDescent="0.3">
      <c r="A8" s="1">
        <v>2</v>
      </c>
      <c r="B8" s="1" t="s">
        <v>252</v>
      </c>
      <c r="C8" s="1" t="s">
        <v>253</v>
      </c>
      <c r="D8" s="1" t="s">
        <v>248</v>
      </c>
      <c r="E8" s="1" t="s">
        <v>258</v>
      </c>
      <c r="F8" s="1" t="s">
        <v>12</v>
      </c>
      <c r="G8" s="1" t="s">
        <v>259</v>
      </c>
      <c r="H8" s="1" t="s">
        <v>257</v>
      </c>
      <c r="I8" s="1" t="s">
        <v>13</v>
      </c>
      <c r="J8" s="1" t="s">
        <v>267</v>
      </c>
      <c r="K8" s="1" t="s">
        <v>265</v>
      </c>
      <c r="L8" s="1" t="s">
        <v>266</v>
      </c>
    </row>
    <row r="9" spans="1:12" ht="15.6" x14ac:dyDescent="0.3">
      <c r="A9" s="1">
        <v>3</v>
      </c>
      <c r="B9" s="1" t="s">
        <v>34</v>
      </c>
      <c r="C9" s="1" t="s">
        <v>35</v>
      </c>
      <c r="D9" s="1" t="s">
        <v>26</v>
      </c>
      <c r="E9" s="1" t="s">
        <v>260</v>
      </c>
      <c r="F9" s="1" t="s">
        <v>12</v>
      </c>
      <c r="G9" s="1" t="s">
        <v>260</v>
      </c>
      <c r="H9" s="1" t="s">
        <v>283</v>
      </c>
      <c r="I9" s="1" t="s">
        <v>13</v>
      </c>
      <c r="J9" s="1" t="s">
        <v>284</v>
      </c>
      <c r="K9" s="1" t="s">
        <v>265</v>
      </c>
      <c r="L9" s="1" t="s">
        <v>266</v>
      </c>
    </row>
    <row r="10" spans="1:12" ht="15.6" x14ac:dyDescent="0.3">
      <c r="A10" s="1">
        <v>4</v>
      </c>
      <c r="B10" s="1" t="s">
        <v>17</v>
      </c>
      <c r="C10" s="1" t="s">
        <v>18</v>
      </c>
      <c r="D10" s="1" t="s">
        <v>19</v>
      </c>
      <c r="E10" s="1" t="s">
        <v>268</v>
      </c>
      <c r="F10" s="1" t="s">
        <v>279</v>
      </c>
      <c r="G10" s="1" t="s">
        <v>269</v>
      </c>
      <c r="H10" s="1" t="s">
        <v>270</v>
      </c>
      <c r="I10" s="1" t="s">
        <v>13</v>
      </c>
      <c r="J10" s="1" t="s">
        <v>271</v>
      </c>
      <c r="K10" s="1" t="s">
        <v>272</v>
      </c>
      <c r="L10" s="1" t="s">
        <v>280</v>
      </c>
    </row>
    <row r="11" spans="1:12" ht="15.6" x14ac:dyDescent="0.3">
      <c r="A11" s="1">
        <v>5</v>
      </c>
      <c r="B11" s="1" t="s">
        <v>172</v>
      </c>
      <c r="C11" s="1" t="s">
        <v>173</v>
      </c>
      <c r="D11" s="1" t="s">
        <v>76</v>
      </c>
      <c r="E11" s="1" t="s">
        <v>273</v>
      </c>
      <c r="F11" s="1" t="s">
        <v>274</v>
      </c>
      <c r="G11" s="1" t="s">
        <v>275</v>
      </c>
      <c r="H11" s="1" t="s">
        <v>276</v>
      </c>
      <c r="I11" s="1" t="s">
        <v>13</v>
      </c>
      <c r="J11" s="1" t="s">
        <v>277</v>
      </c>
      <c r="K11" s="1" t="s">
        <v>265</v>
      </c>
      <c r="L11" s="1" t="s">
        <v>278</v>
      </c>
    </row>
    <row r="12" spans="1:12" ht="15.6" x14ac:dyDescent="0.3">
      <c r="A12" s="1">
        <v>6</v>
      </c>
      <c r="B12" s="1" t="s">
        <v>17</v>
      </c>
      <c r="C12" s="1" t="s">
        <v>18</v>
      </c>
      <c r="D12" s="1" t="s">
        <v>19</v>
      </c>
      <c r="E12" s="1" t="s">
        <v>285</v>
      </c>
      <c r="F12" s="1" t="s">
        <v>286</v>
      </c>
      <c r="G12" s="1" t="s">
        <v>287</v>
      </c>
      <c r="H12" s="1" t="s">
        <v>288</v>
      </c>
      <c r="I12" s="1" t="s">
        <v>13</v>
      </c>
      <c r="J12" s="1" t="s">
        <v>289</v>
      </c>
      <c r="K12" s="1" t="s">
        <v>290</v>
      </c>
      <c r="L12" s="1" t="s">
        <v>266</v>
      </c>
    </row>
    <row r="13" spans="1:12" ht="15.6" x14ac:dyDescent="0.3">
      <c r="A13" s="1">
        <v>7</v>
      </c>
      <c r="B13" s="1" t="s">
        <v>118</v>
      </c>
      <c r="C13" s="1" t="s">
        <v>119</v>
      </c>
      <c r="D13" s="1" t="s">
        <v>51</v>
      </c>
      <c r="E13" s="1" t="s">
        <v>291</v>
      </c>
      <c r="F13" s="1" t="s">
        <v>292</v>
      </c>
      <c r="G13" s="1" t="s">
        <v>293</v>
      </c>
      <c r="H13" s="1" t="s">
        <v>294</v>
      </c>
      <c r="I13" s="1" t="s">
        <v>13</v>
      </c>
      <c r="J13" s="1" t="s">
        <v>295</v>
      </c>
      <c r="K13" s="1" t="s">
        <v>296</v>
      </c>
      <c r="L13" s="1" t="s">
        <v>266</v>
      </c>
    </row>
    <row r="14" spans="1:12" ht="15.6" x14ac:dyDescent="0.3">
      <c r="A14" s="1">
        <v>8</v>
      </c>
      <c r="B14" s="1" t="s">
        <v>17</v>
      </c>
      <c r="C14" s="1" t="s">
        <v>18</v>
      </c>
      <c r="D14" s="1" t="s">
        <v>19</v>
      </c>
      <c r="E14" s="1" t="s">
        <v>297</v>
      </c>
      <c r="F14" s="1" t="s">
        <v>298</v>
      </c>
      <c r="G14" s="1" t="s">
        <v>299</v>
      </c>
      <c r="H14" s="1" t="s">
        <v>282</v>
      </c>
      <c r="I14" s="1" t="s">
        <v>13</v>
      </c>
      <c r="J14" s="1" t="s">
        <v>300</v>
      </c>
      <c r="K14" s="1" t="s">
        <v>301</v>
      </c>
      <c r="L14" s="1" t="s">
        <v>278</v>
      </c>
    </row>
    <row r="15" spans="1:12" ht="15.6" x14ac:dyDescent="0.3">
      <c r="A15" s="1">
        <v>9</v>
      </c>
      <c r="B15" s="1" t="s">
        <v>118</v>
      </c>
      <c r="C15" s="1" t="s">
        <v>119</v>
      </c>
      <c r="D15" s="1" t="s">
        <v>51</v>
      </c>
      <c r="E15" s="1" t="s">
        <v>302</v>
      </c>
      <c r="F15" s="1" t="s">
        <v>292</v>
      </c>
      <c r="G15" s="1" t="s">
        <v>303</v>
      </c>
      <c r="H15" s="1" t="s">
        <v>304</v>
      </c>
      <c r="I15" s="1" t="s">
        <v>13</v>
      </c>
      <c r="J15" s="1" t="s">
        <v>305</v>
      </c>
      <c r="K15" s="1" t="s">
        <v>265</v>
      </c>
      <c r="L15" s="1" t="s">
        <v>266</v>
      </c>
    </row>
    <row r="16" spans="1:12" ht="15.6" x14ac:dyDescent="0.3">
      <c r="A16" s="1">
        <v>10</v>
      </c>
      <c r="B16" s="1" t="s">
        <v>21</v>
      </c>
      <c r="C16" s="1" t="s">
        <v>22</v>
      </c>
      <c r="D16" s="1" t="s">
        <v>19</v>
      </c>
      <c r="E16" s="1" t="s">
        <v>307</v>
      </c>
      <c r="F16" s="1" t="s">
        <v>286</v>
      </c>
      <c r="G16" s="1" t="s">
        <v>308</v>
      </c>
      <c r="H16" s="1" t="s">
        <v>281</v>
      </c>
      <c r="I16" s="1" t="s">
        <v>309</v>
      </c>
      <c r="J16" s="1" t="s">
        <v>310</v>
      </c>
      <c r="K16" s="1" t="s">
        <v>265</v>
      </c>
      <c r="L16" s="1" t="s">
        <v>266</v>
      </c>
    </row>
    <row r="17" spans="1:12" ht="15.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 ht="15.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DAE1-8937-4832-8D96-B898FB6E6895}">
  <sheetPr codeName="Sheet3"/>
  <dimension ref="A1:E101"/>
  <sheetViews>
    <sheetView zoomScale="85" zoomScaleNormal="85" workbookViewId="0">
      <selection activeCell="J20" sqref="J20"/>
    </sheetView>
  </sheetViews>
  <sheetFormatPr defaultColWidth="8.77734375" defaultRowHeight="13.8" x14ac:dyDescent="0.25"/>
  <cols>
    <col min="1" max="1" width="6.109375" style="2" bestFit="1" customWidth="1"/>
    <col min="2" max="2" width="34.88671875" style="2" customWidth="1"/>
    <col min="3" max="3" width="19.44140625" style="2" bestFit="1" customWidth="1"/>
    <col min="4" max="4" width="24.77734375" style="2" customWidth="1"/>
    <col min="5" max="5" width="36.88671875" style="2" customWidth="1"/>
    <col min="6" max="16384" width="8.77734375" style="2"/>
  </cols>
  <sheetData>
    <row r="1" spans="1:5" s="7" customFormat="1" x14ac:dyDescent="0.3">
      <c r="A1" s="6" t="s">
        <v>5</v>
      </c>
      <c r="B1" s="6" t="s">
        <v>15</v>
      </c>
      <c r="C1" s="6" t="s">
        <v>3</v>
      </c>
      <c r="D1" s="6" t="s">
        <v>4</v>
      </c>
      <c r="E1" s="6" t="s">
        <v>16</v>
      </c>
    </row>
    <row r="2" spans="1:5" s="7" customFormat="1" x14ac:dyDescent="0.3">
      <c r="A2" s="8">
        <v>1</v>
      </c>
      <c r="B2" s="9" t="s">
        <v>17</v>
      </c>
      <c r="C2" s="10" t="s">
        <v>18</v>
      </c>
      <c r="D2" s="11" t="s">
        <v>19</v>
      </c>
      <c r="E2" s="8" t="s">
        <v>20</v>
      </c>
    </row>
    <row r="3" spans="1:5" s="7" customFormat="1" x14ac:dyDescent="0.3">
      <c r="A3" s="8">
        <v>2</v>
      </c>
      <c r="B3" s="9" t="s">
        <v>21</v>
      </c>
      <c r="C3" s="10" t="s">
        <v>22</v>
      </c>
      <c r="D3" s="11" t="s">
        <v>19</v>
      </c>
      <c r="E3" s="12" t="s">
        <v>23</v>
      </c>
    </row>
    <row r="4" spans="1:5" s="15" customFormat="1" x14ac:dyDescent="0.3">
      <c r="A4" s="8">
        <v>3</v>
      </c>
      <c r="B4" s="11" t="s">
        <v>24</v>
      </c>
      <c r="C4" s="13" t="s">
        <v>25</v>
      </c>
      <c r="D4" s="14" t="s">
        <v>26</v>
      </c>
      <c r="E4" s="11" t="s">
        <v>27</v>
      </c>
    </row>
    <row r="5" spans="1:5" s="15" customFormat="1" x14ac:dyDescent="0.3">
      <c r="A5" s="8">
        <v>4</v>
      </c>
      <c r="B5" s="11" t="s">
        <v>28</v>
      </c>
      <c r="C5" s="13" t="s">
        <v>29</v>
      </c>
      <c r="D5" s="14" t="s">
        <v>26</v>
      </c>
      <c r="E5" s="11" t="s">
        <v>27</v>
      </c>
    </row>
    <row r="6" spans="1:5" s="15" customFormat="1" x14ac:dyDescent="0.3">
      <c r="A6" s="8">
        <v>5</v>
      </c>
      <c r="B6" s="11" t="s">
        <v>30</v>
      </c>
      <c r="C6" s="13" t="s">
        <v>31</v>
      </c>
      <c r="D6" s="14" t="s">
        <v>26</v>
      </c>
      <c r="E6" s="11" t="s">
        <v>27</v>
      </c>
    </row>
    <row r="7" spans="1:5" s="15" customFormat="1" x14ac:dyDescent="0.3">
      <c r="A7" s="8">
        <v>6</v>
      </c>
      <c r="B7" s="11" t="s">
        <v>32</v>
      </c>
      <c r="C7" s="13" t="s">
        <v>33</v>
      </c>
      <c r="D7" s="14" t="s">
        <v>26</v>
      </c>
      <c r="E7" s="11" t="s">
        <v>27</v>
      </c>
    </row>
    <row r="8" spans="1:5" s="15" customFormat="1" x14ac:dyDescent="0.3">
      <c r="A8" s="8">
        <v>7</v>
      </c>
      <c r="B8" s="11" t="s">
        <v>34</v>
      </c>
      <c r="C8" s="13" t="s">
        <v>35</v>
      </c>
      <c r="D8" s="14" t="s">
        <v>26</v>
      </c>
      <c r="E8" s="11" t="s">
        <v>27</v>
      </c>
    </row>
    <row r="9" spans="1:5" s="15" customFormat="1" x14ac:dyDescent="0.3">
      <c r="A9" s="8">
        <v>8</v>
      </c>
      <c r="B9" s="11" t="s">
        <v>36</v>
      </c>
      <c r="C9" s="13" t="s">
        <v>37</v>
      </c>
      <c r="D9" s="14" t="s">
        <v>26</v>
      </c>
      <c r="E9" s="11" t="s">
        <v>27</v>
      </c>
    </row>
    <row r="10" spans="1:5" s="15" customFormat="1" x14ac:dyDescent="0.3">
      <c r="A10" s="8">
        <v>9</v>
      </c>
      <c r="B10" s="11" t="s">
        <v>38</v>
      </c>
      <c r="C10" s="13" t="s">
        <v>39</v>
      </c>
      <c r="D10" s="14" t="s">
        <v>26</v>
      </c>
      <c r="E10" s="11" t="s">
        <v>27</v>
      </c>
    </row>
    <row r="11" spans="1:5" s="15" customFormat="1" x14ac:dyDescent="0.3">
      <c r="A11" s="8">
        <v>10</v>
      </c>
      <c r="B11" s="11" t="s">
        <v>40</v>
      </c>
      <c r="C11" s="13" t="s">
        <v>41</v>
      </c>
      <c r="D11" s="14" t="s">
        <v>26</v>
      </c>
      <c r="E11" s="11" t="s">
        <v>27</v>
      </c>
    </row>
    <row r="12" spans="1:5" s="15" customFormat="1" x14ac:dyDescent="0.3">
      <c r="A12" s="8">
        <v>11</v>
      </c>
      <c r="B12" s="11" t="s">
        <v>42</v>
      </c>
      <c r="C12" s="13" t="s">
        <v>43</v>
      </c>
      <c r="D12" s="11" t="s">
        <v>26</v>
      </c>
      <c r="E12" s="11" t="s">
        <v>27</v>
      </c>
    </row>
    <row r="13" spans="1:5" s="15" customFormat="1" x14ac:dyDescent="0.3">
      <c r="A13" s="8">
        <v>12</v>
      </c>
      <c r="B13" s="11" t="s">
        <v>44</v>
      </c>
      <c r="C13" s="13" t="s">
        <v>45</v>
      </c>
      <c r="D13" s="11" t="s">
        <v>46</v>
      </c>
      <c r="E13" s="11" t="s">
        <v>27</v>
      </c>
    </row>
    <row r="14" spans="1:5" s="15" customFormat="1" x14ac:dyDescent="0.3">
      <c r="A14" s="8">
        <v>13</v>
      </c>
      <c r="B14" s="9" t="s">
        <v>47</v>
      </c>
      <c r="C14" s="14" t="s">
        <v>48</v>
      </c>
      <c r="D14" s="11" t="s">
        <v>46</v>
      </c>
      <c r="E14" s="9" t="s">
        <v>27</v>
      </c>
    </row>
    <row r="15" spans="1:5" s="15" customFormat="1" x14ac:dyDescent="0.3">
      <c r="A15" s="8">
        <v>14</v>
      </c>
      <c r="B15" s="11" t="s">
        <v>49</v>
      </c>
      <c r="C15" s="13" t="s">
        <v>50</v>
      </c>
      <c r="D15" s="11" t="s">
        <v>51</v>
      </c>
      <c r="E15" s="11" t="s">
        <v>27</v>
      </c>
    </row>
    <row r="16" spans="1:5" s="15" customFormat="1" x14ac:dyDescent="0.3">
      <c r="A16" s="8">
        <v>15</v>
      </c>
      <c r="B16" s="9" t="s">
        <v>52</v>
      </c>
      <c r="C16" s="10" t="s">
        <v>53</v>
      </c>
      <c r="D16" s="10" t="s">
        <v>54</v>
      </c>
      <c r="E16" s="11" t="s">
        <v>27</v>
      </c>
    </row>
    <row r="17" spans="1:5" s="15" customFormat="1" x14ac:dyDescent="0.3">
      <c r="A17" s="8">
        <v>16</v>
      </c>
      <c r="B17" s="11" t="s">
        <v>55</v>
      </c>
      <c r="C17" s="13" t="s">
        <v>56</v>
      </c>
      <c r="D17" s="10" t="s">
        <v>54</v>
      </c>
      <c r="E17" s="11" t="s">
        <v>27</v>
      </c>
    </row>
    <row r="18" spans="1:5" s="15" customFormat="1" x14ac:dyDescent="0.3">
      <c r="A18" s="8">
        <v>17</v>
      </c>
      <c r="B18" s="9" t="s">
        <v>57</v>
      </c>
      <c r="C18" s="10" t="s">
        <v>58</v>
      </c>
      <c r="D18" s="10" t="s">
        <v>51</v>
      </c>
      <c r="E18" s="11" t="s">
        <v>27</v>
      </c>
    </row>
    <row r="19" spans="1:5" s="15" customFormat="1" x14ac:dyDescent="0.3">
      <c r="A19" s="8">
        <v>18</v>
      </c>
      <c r="B19" s="9" t="s">
        <v>59</v>
      </c>
      <c r="C19" s="10" t="s">
        <v>60</v>
      </c>
      <c r="D19" s="11" t="s">
        <v>54</v>
      </c>
      <c r="E19" s="9" t="s">
        <v>61</v>
      </c>
    </row>
    <row r="20" spans="1:5" s="15" customFormat="1" x14ac:dyDescent="0.3">
      <c r="A20" s="8">
        <v>19</v>
      </c>
      <c r="B20" s="9" t="s">
        <v>62</v>
      </c>
      <c r="C20" s="10" t="s">
        <v>63</v>
      </c>
      <c r="D20" s="10" t="s">
        <v>51</v>
      </c>
      <c r="E20" s="9" t="s">
        <v>61</v>
      </c>
    </row>
    <row r="21" spans="1:5" s="15" customFormat="1" x14ac:dyDescent="0.3">
      <c r="A21" s="8">
        <v>20</v>
      </c>
      <c r="B21" s="9" t="s">
        <v>64</v>
      </c>
      <c r="C21" s="10" t="s">
        <v>65</v>
      </c>
      <c r="D21" s="10" t="s">
        <v>51</v>
      </c>
      <c r="E21" s="8" t="s">
        <v>61</v>
      </c>
    </row>
    <row r="22" spans="1:5" s="15" customFormat="1" x14ac:dyDescent="0.3">
      <c r="A22" s="8">
        <v>21</v>
      </c>
      <c r="B22" s="9" t="s">
        <v>66</v>
      </c>
      <c r="C22" s="10" t="s">
        <v>67</v>
      </c>
      <c r="D22" s="10" t="s">
        <v>51</v>
      </c>
      <c r="E22" s="8" t="s">
        <v>61</v>
      </c>
    </row>
    <row r="23" spans="1:5" s="15" customFormat="1" x14ac:dyDescent="0.3">
      <c r="A23" s="8">
        <v>22</v>
      </c>
      <c r="B23" s="9" t="s">
        <v>68</v>
      </c>
      <c r="C23" s="10" t="s">
        <v>69</v>
      </c>
      <c r="D23" s="10" t="s">
        <v>51</v>
      </c>
      <c r="E23" s="8" t="s">
        <v>61</v>
      </c>
    </row>
    <row r="24" spans="1:5" s="15" customFormat="1" ht="15.45" customHeight="1" x14ac:dyDescent="0.3">
      <c r="A24" s="8">
        <v>23</v>
      </c>
      <c r="B24" s="9" t="s">
        <v>70</v>
      </c>
      <c r="C24" s="10" t="s">
        <v>71</v>
      </c>
      <c r="D24" s="10" t="s">
        <v>51</v>
      </c>
      <c r="E24" s="8" t="s">
        <v>61</v>
      </c>
    </row>
    <row r="25" spans="1:5" x14ac:dyDescent="0.25">
      <c r="A25" s="8">
        <v>24</v>
      </c>
      <c r="B25" s="9" t="s">
        <v>72</v>
      </c>
      <c r="C25" s="10" t="s">
        <v>73</v>
      </c>
      <c r="D25" s="10" t="s">
        <v>54</v>
      </c>
      <c r="E25" s="8" t="s">
        <v>61</v>
      </c>
    </row>
    <row r="26" spans="1:5" s="15" customFormat="1" x14ac:dyDescent="0.3">
      <c r="A26" s="8">
        <v>25</v>
      </c>
      <c r="B26" s="11" t="s">
        <v>74</v>
      </c>
      <c r="C26" s="13" t="s">
        <v>75</v>
      </c>
      <c r="D26" s="11" t="s">
        <v>76</v>
      </c>
      <c r="E26" s="11" t="s">
        <v>77</v>
      </c>
    </row>
    <row r="27" spans="1:5" s="15" customFormat="1" x14ac:dyDescent="0.3">
      <c r="A27" s="8">
        <v>26</v>
      </c>
      <c r="B27" s="9" t="s">
        <v>78</v>
      </c>
      <c r="C27" s="10" t="s">
        <v>79</v>
      </c>
      <c r="D27" s="10" t="s">
        <v>54</v>
      </c>
      <c r="E27" s="11" t="s">
        <v>77</v>
      </c>
    </row>
    <row r="28" spans="1:5" s="15" customFormat="1" x14ac:dyDescent="0.3">
      <c r="A28" s="8">
        <v>27</v>
      </c>
      <c r="B28" s="9" t="s">
        <v>80</v>
      </c>
      <c r="C28" s="10" t="s">
        <v>81</v>
      </c>
      <c r="D28" s="10" t="s">
        <v>54</v>
      </c>
      <c r="E28" s="11" t="s">
        <v>77</v>
      </c>
    </row>
    <row r="29" spans="1:5" s="15" customFormat="1" x14ac:dyDescent="0.3">
      <c r="A29" s="8">
        <v>28</v>
      </c>
      <c r="B29" s="9" t="s">
        <v>82</v>
      </c>
      <c r="C29" s="10" t="s">
        <v>83</v>
      </c>
      <c r="D29" s="10" t="s">
        <v>54</v>
      </c>
      <c r="E29" s="11" t="s">
        <v>77</v>
      </c>
    </row>
    <row r="30" spans="1:5" s="15" customFormat="1" x14ac:dyDescent="0.3">
      <c r="A30" s="8">
        <v>29</v>
      </c>
      <c r="B30" s="9" t="s">
        <v>84</v>
      </c>
      <c r="C30" s="10" t="s">
        <v>85</v>
      </c>
      <c r="D30" s="10" t="s">
        <v>51</v>
      </c>
      <c r="E30" s="11" t="s">
        <v>77</v>
      </c>
    </row>
    <row r="31" spans="1:5" s="15" customFormat="1" x14ac:dyDescent="0.3">
      <c r="A31" s="8">
        <v>30</v>
      </c>
      <c r="B31" s="9" t="s">
        <v>86</v>
      </c>
      <c r="C31" s="10" t="s">
        <v>87</v>
      </c>
      <c r="D31" s="10" t="s">
        <v>51</v>
      </c>
      <c r="E31" s="8" t="s">
        <v>88</v>
      </c>
    </row>
    <row r="32" spans="1:5" s="15" customFormat="1" x14ac:dyDescent="0.3">
      <c r="A32" s="8">
        <v>31</v>
      </c>
      <c r="B32" s="9" t="s">
        <v>89</v>
      </c>
      <c r="C32" s="10" t="s">
        <v>90</v>
      </c>
      <c r="D32" s="10" t="s">
        <v>54</v>
      </c>
      <c r="E32" s="8" t="s">
        <v>91</v>
      </c>
    </row>
    <row r="33" spans="1:5" s="15" customFormat="1" x14ac:dyDescent="0.3">
      <c r="A33" s="8">
        <v>32</v>
      </c>
      <c r="B33" s="9" t="s">
        <v>92</v>
      </c>
      <c r="C33" s="10" t="s">
        <v>93</v>
      </c>
      <c r="D33" s="10" t="s">
        <v>51</v>
      </c>
      <c r="E33" s="8" t="s">
        <v>91</v>
      </c>
    </row>
    <row r="34" spans="1:5" s="15" customFormat="1" x14ac:dyDescent="0.3">
      <c r="A34" s="8">
        <v>33</v>
      </c>
      <c r="B34" s="9" t="s">
        <v>94</v>
      </c>
      <c r="C34" s="10" t="s">
        <v>95</v>
      </c>
      <c r="D34" s="10" t="s">
        <v>76</v>
      </c>
      <c r="E34" s="8" t="s">
        <v>96</v>
      </c>
    </row>
    <row r="35" spans="1:5" s="15" customFormat="1" x14ac:dyDescent="0.3">
      <c r="A35" s="8">
        <v>34</v>
      </c>
      <c r="B35" s="11" t="s">
        <v>97</v>
      </c>
      <c r="C35" s="13" t="s">
        <v>98</v>
      </c>
      <c r="D35" s="11" t="s">
        <v>99</v>
      </c>
      <c r="E35" s="16" t="s">
        <v>100</v>
      </c>
    </row>
    <row r="36" spans="1:5" s="15" customFormat="1" x14ac:dyDescent="0.3">
      <c r="A36" s="8">
        <v>35</v>
      </c>
      <c r="B36" s="9" t="s">
        <v>101</v>
      </c>
      <c r="C36" s="10" t="s">
        <v>102</v>
      </c>
      <c r="D36" s="10" t="s">
        <v>51</v>
      </c>
      <c r="E36" s="8" t="s">
        <v>103</v>
      </c>
    </row>
    <row r="37" spans="1:5" s="15" customFormat="1" x14ac:dyDescent="0.3">
      <c r="A37" s="8">
        <v>36</v>
      </c>
      <c r="B37" s="9" t="s">
        <v>104</v>
      </c>
      <c r="C37" s="10" t="s">
        <v>105</v>
      </c>
      <c r="D37" s="10" t="s">
        <v>51</v>
      </c>
      <c r="E37" s="8" t="s">
        <v>103</v>
      </c>
    </row>
    <row r="38" spans="1:5" s="15" customFormat="1" x14ac:dyDescent="0.3">
      <c r="A38" s="8">
        <v>37</v>
      </c>
      <c r="B38" s="9" t="s">
        <v>106</v>
      </c>
      <c r="C38" s="10" t="s">
        <v>107</v>
      </c>
      <c r="D38" s="10" t="s">
        <v>51</v>
      </c>
      <c r="E38" s="8" t="s">
        <v>103</v>
      </c>
    </row>
    <row r="39" spans="1:5" s="15" customFormat="1" x14ac:dyDescent="0.3">
      <c r="A39" s="8">
        <v>38</v>
      </c>
      <c r="B39" s="9" t="s">
        <v>108</v>
      </c>
      <c r="C39" s="10" t="s">
        <v>109</v>
      </c>
      <c r="D39" s="10" t="s">
        <v>51</v>
      </c>
      <c r="E39" s="8" t="s">
        <v>103</v>
      </c>
    </row>
    <row r="40" spans="1:5" s="15" customFormat="1" x14ac:dyDescent="0.3">
      <c r="A40" s="8">
        <v>39</v>
      </c>
      <c r="B40" s="9" t="s">
        <v>110</v>
      </c>
      <c r="C40" s="10" t="s">
        <v>111</v>
      </c>
      <c r="D40" s="10" t="s">
        <v>54</v>
      </c>
      <c r="E40" s="8" t="s">
        <v>103</v>
      </c>
    </row>
    <row r="41" spans="1:5" s="15" customFormat="1" x14ac:dyDescent="0.3">
      <c r="A41" s="8">
        <v>40</v>
      </c>
      <c r="B41" s="9" t="s">
        <v>112</v>
      </c>
      <c r="C41" s="10" t="s">
        <v>113</v>
      </c>
      <c r="D41" s="10" t="s">
        <v>54</v>
      </c>
      <c r="E41" s="8" t="s">
        <v>103</v>
      </c>
    </row>
    <row r="42" spans="1:5" s="15" customFormat="1" x14ac:dyDescent="0.3">
      <c r="A42" s="8">
        <v>41</v>
      </c>
      <c r="B42" s="9" t="s">
        <v>114</v>
      </c>
      <c r="C42" s="10" t="s">
        <v>115</v>
      </c>
      <c r="D42" s="10" t="s">
        <v>54</v>
      </c>
      <c r="E42" s="8" t="s">
        <v>103</v>
      </c>
    </row>
    <row r="43" spans="1:5" s="15" customFormat="1" x14ac:dyDescent="0.3">
      <c r="A43" s="8">
        <v>42</v>
      </c>
      <c r="B43" s="9" t="s">
        <v>116</v>
      </c>
      <c r="C43" s="10" t="s">
        <v>117</v>
      </c>
      <c r="D43" s="10" t="s">
        <v>51</v>
      </c>
      <c r="E43" s="8" t="s">
        <v>103</v>
      </c>
    </row>
    <row r="44" spans="1:5" s="15" customFormat="1" x14ac:dyDescent="0.3">
      <c r="A44" s="8">
        <v>43</v>
      </c>
      <c r="B44" s="9" t="s">
        <v>118</v>
      </c>
      <c r="C44" s="10" t="s">
        <v>119</v>
      </c>
      <c r="D44" s="10" t="s">
        <v>51</v>
      </c>
      <c r="E44" s="8" t="s">
        <v>103</v>
      </c>
    </row>
    <row r="45" spans="1:5" s="15" customFormat="1" x14ac:dyDescent="0.3">
      <c r="A45" s="8">
        <v>44</v>
      </c>
      <c r="B45" s="9" t="s">
        <v>120</v>
      </c>
      <c r="C45" s="10" t="s">
        <v>121</v>
      </c>
      <c r="D45" s="10" t="s">
        <v>54</v>
      </c>
      <c r="E45" s="8" t="s">
        <v>103</v>
      </c>
    </row>
    <row r="46" spans="1:5" s="15" customFormat="1" x14ac:dyDescent="0.3">
      <c r="A46" s="8">
        <v>45</v>
      </c>
      <c r="B46" s="9" t="s">
        <v>122</v>
      </c>
      <c r="C46" s="10" t="s">
        <v>123</v>
      </c>
      <c r="D46" s="10" t="s">
        <v>51</v>
      </c>
      <c r="E46" s="8" t="s">
        <v>103</v>
      </c>
    </row>
    <row r="47" spans="1:5" s="15" customFormat="1" x14ac:dyDescent="0.3">
      <c r="A47" s="8">
        <v>46</v>
      </c>
      <c r="B47" s="9" t="s">
        <v>124</v>
      </c>
      <c r="C47" s="10" t="s">
        <v>125</v>
      </c>
      <c r="D47" s="10" t="s">
        <v>51</v>
      </c>
      <c r="E47" s="8" t="s">
        <v>103</v>
      </c>
    </row>
    <row r="48" spans="1:5" s="15" customFormat="1" x14ac:dyDescent="0.3">
      <c r="A48" s="8">
        <v>47</v>
      </c>
      <c r="B48" s="9" t="s">
        <v>126</v>
      </c>
      <c r="C48" s="14" t="s">
        <v>127</v>
      </c>
      <c r="D48" s="10" t="s">
        <v>54</v>
      </c>
      <c r="E48" s="8" t="s">
        <v>103</v>
      </c>
    </row>
    <row r="49" spans="1:5" s="15" customFormat="1" x14ac:dyDescent="0.3">
      <c r="A49" s="8">
        <v>48</v>
      </c>
      <c r="B49" s="9" t="s">
        <v>128</v>
      </c>
      <c r="C49" s="10" t="s">
        <v>129</v>
      </c>
      <c r="D49" s="10" t="s">
        <v>51</v>
      </c>
      <c r="E49" s="8" t="s">
        <v>103</v>
      </c>
    </row>
    <row r="50" spans="1:5" s="15" customFormat="1" x14ac:dyDescent="0.3">
      <c r="A50" s="8">
        <v>49</v>
      </c>
      <c r="B50" s="9" t="s">
        <v>130</v>
      </c>
      <c r="C50" s="10" t="s">
        <v>131</v>
      </c>
      <c r="D50" s="10" t="s">
        <v>54</v>
      </c>
      <c r="E50" s="8" t="s">
        <v>132</v>
      </c>
    </row>
    <row r="51" spans="1:5" s="15" customFormat="1" x14ac:dyDescent="0.3">
      <c r="A51" s="8">
        <v>50</v>
      </c>
      <c r="B51" s="9" t="s">
        <v>133</v>
      </c>
      <c r="C51" s="10" t="s">
        <v>134</v>
      </c>
      <c r="D51" s="10" t="s">
        <v>51</v>
      </c>
      <c r="E51" s="8" t="s">
        <v>135</v>
      </c>
    </row>
    <row r="52" spans="1:5" s="15" customFormat="1" x14ac:dyDescent="0.3">
      <c r="A52" s="8">
        <v>51</v>
      </c>
      <c r="B52" s="9" t="s">
        <v>136</v>
      </c>
      <c r="C52" s="10" t="s">
        <v>137</v>
      </c>
      <c r="D52" s="10" t="s">
        <v>54</v>
      </c>
      <c r="E52" s="17" t="s">
        <v>132</v>
      </c>
    </row>
    <row r="53" spans="1:5" s="15" customFormat="1" x14ac:dyDescent="0.3">
      <c r="A53" s="8">
        <v>52</v>
      </c>
      <c r="B53" s="9" t="s">
        <v>138</v>
      </c>
      <c r="C53" s="10" t="s">
        <v>139</v>
      </c>
      <c r="D53" s="10" t="s">
        <v>51</v>
      </c>
      <c r="E53" s="8" t="s">
        <v>140</v>
      </c>
    </row>
    <row r="54" spans="1:5" s="15" customFormat="1" x14ac:dyDescent="0.3">
      <c r="A54" s="8">
        <v>53</v>
      </c>
      <c r="B54" s="9" t="s">
        <v>141</v>
      </c>
      <c r="C54" s="10" t="s">
        <v>142</v>
      </c>
      <c r="D54" s="10" t="s">
        <v>54</v>
      </c>
      <c r="E54" s="8" t="s">
        <v>140</v>
      </c>
    </row>
    <row r="55" spans="1:5" s="15" customFormat="1" x14ac:dyDescent="0.3">
      <c r="A55" s="8">
        <v>54</v>
      </c>
      <c r="B55" s="9" t="s">
        <v>143</v>
      </c>
      <c r="C55" s="10" t="s">
        <v>144</v>
      </c>
      <c r="D55" s="10" t="s">
        <v>54</v>
      </c>
      <c r="E55" s="8" t="s">
        <v>140</v>
      </c>
    </row>
    <row r="56" spans="1:5" s="15" customFormat="1" x14ac:dyDescent="0.3">
      <c r="A56" s="8">
        <v>55</v>
      </c>
      <c r="B56" s="9" t="s">
        <v>145</v>
      </c>
      <c r="C56" s="10" t="s">
        <v>146</v>
      </c>
      <c r="D56" s="10" t="s">
        <v>51</v>
      </c>
      <c r="E56" s="8" t="s">
        <v>140</v>
      </c>
    </row>
    <row r="57" spans="1:5" s="15" customFormat="1" x14ac:dyDescent="0.3">
      <c r="A57" s="8">
        <v>56</v>
      </c>
      <c r="B57" s="9" t="s">
        <v>147</v>
      </c>
      <c r="C57" s="10" t="s">
        <v>148</v>
      </c>
      <c r="D57" s="10" t="s">
        <v>51</v>
      </c>
      <c r="E57" s="8" t="s">
        <v>140</v>
      </c>
    </row>
    <row r="58" spans="1:5" s="15" customFormat="1" x14ac:dyDescent="0.3">
      <c r="A58" s="8">
        <v>57</v>
      </c>
      <c r="B58" s="9" t="s">
        <v>149</v>
      </c>
      <c r="C58" s="10" t="s">
        <v>150</v>
      </c>
      <c r="D58" s="10" t="s">
        <v>54</v>
      </c>
      <c r="E58" s="8" t="s">
        <v>140</v>
      </c>
    </row>
    <row r="59" spans="1:5" s="15" customFormat="1" x14ac:dyDescent="0.3">
      <c r="A59" s="8">
        <v>58</v>
      </c>
      <c r="B59" s="9" t="s">
        <v>151</v>
      </c>
      <c r="C59" s="10" t="s">
        <v>152</v>
      </c>
      <c r="D59" s="10" t="s">
        <v>54</v>
      </c>
      <c r="E59" s="8" t="s">
        <v>140</v>
      </c>
    </row>
    <row r="60" spans="1:5" s="15" customFormat="1" x14ac:dyDescent="0.3">
      <c r="A60" s="8">
        <v>59</v>
      </c>
      <c r="B60" s="9" t="s">
        <v>153</v>
      </c>
      <c r="C60" s="10" t="s">
        <v>154</v>
      </c>
      <c r="D60" s="10" t="s">
        <v>54</v>
      </c>
      <c r="E60" s="8" t="s">
        <v>140</v>
      </c>
    </row>
    <row r="61" spans="1:5" s="15" customFormat="1" x14ac:dyDescent="0.3">
      <c r="A61" s="8">
        <v>60</v>
      </c>
      <c r="B61" s="9" t="s">
        <v>155</v>
      </c>
      <c r="C61" s="10" t="s">
        <v>156</v>
      </c>
      <c r="D61" s="10" t="s">
        <v>54</v>
      </c>
      <c r="E61" s="8" t="s">
        <v>140</v>
      </c>
    </row>
    <row r="62" spans="1:5" s="15" customFormat="1" x14ac:dyDescent="0.3">
      <c r="A62" s="8">
        <v>61</v>
      </c>
      <c r="B62" s="9" t="s">
        <v>157</v>
      </c>
      <c r="C62" s="10" t="s">
        <v>158</v>
      </c>
      <c r="D62" s="10" t="s">
        <v>54</v>
      </c>
      <c r="E62" s="8" t="s">
        <v>140</v>
      </c>
    </row>
    <row r="63" spans="1:5" s="15" customFormat="1" x14ac:dyDescent="0.3">
      <c r="A63" s="8">
        <v>62</v>
      </c>
      <c r="B63" s="9" t="s">
        <v>159</v>
      </c>
      <c r="C63" s="10" t="s">
        <v>160</v>
      </c>
      <c r="D63" s="10" t="s">
        <v>54</v>
      </c>
      <c r="E63" s="8" t="s">
        <v>140</v>
      </c>
    </row>
    <row r="64" spans="1:5" s="15" customFormat="1" x14ac:dyDescent="0.3">
      <c r="A64" s="8">
        <v>63</v>
      </c>
      <c r="B64" s="9" t="s">
        <v>161</v>
      </c>
      <c r="C64" s="10" t="s">
        <v>162</v>
      </c>
      <c r="D64" s="10" t="s">
        <v>54</v>
      </c>
      <c r="E64" s="8" t="s">
        <v>140</v>
      </c>
    </row>
    <row r="65" spans="1:5" s="15" customFormat="1" x14ac:dyDescent="0.3">
      <c r="A65" s="8">
        <v>64</v>
      </c>
      <c r="B65" s="9" t="s">
        <v>163</v>
      </c>
      <c r="C65" s="14" t="s">
        <v>164</v>
      </c>
      <c r="D65" s="10" t="s">
        <v>54</v>
      </c>
      <c r="E65" s="8" t="s">
        <v>140</v>
      </c>
    </row>
    <row r="66" spans="1:5" s="15" customFormat="1" x14ac:dyDescent="0.3">
      <c r="A66" s="8">
        <v>65</v>
      </c>
      <c r="B66" s="9" t="s">
        <v>165</v>
      </c>
      <c r="C66" s="10" t="s">
        <v>166</v>
      </c>
      <c r="D66" s="10" t="s">
        <v>54</v>
      </c>
      <c r="E66" s="8" t="s">
        <v>140</v>
      </c>
    </row>
    <row r="67" spans="1:5" s="15" customFormat="1" x14ac:dyDescent="0.3">
      <c r="A67" s="8">
        <v>66</v>
      </c>
      <c r="B67" s="9" t="s">
        <v>167</v>
      </c>
      <c r="C67" s="10" t="s">
        <v>168</v>
      </c>
      <c r="D67" s="10" t="s">
        <v>54</v>
      </c>
      <c r="E67" s="8" t="s">
        <v>140</v>
      </c>
    </row>
    <row r="68" spans="1:5" s="15" customFormat="1" x14ac:dyDescent="0.3">
      <c r="A68" s="8">
        <v>67</v>
      </c>
      <c r="B68" s="11" t="s">
        <v>169</v>
      </c>
      <c r="C68" s="13" t="s">
        <v>170</v>
      </c>
      <c r="D68" s="11" t="s">
        <v>171</v>
      </c>
      <c r="E68" s="8" t="s">
        <v>140</v>
      </c>
    </row>
    <row r="69" spans="1:5" s="15" customFormat="1" x14ac:dyDescent="0.3">
      <c r="A69" s="8">
        <v>68</v>
      </c>
      <c r="B69" s="9" t="s">
        <v>172</v>
      </c>
      <c r="C69" s="10" t="s">
        <v>173</v>
      </c>
      <c r="D69" s="10" t="s">
        <v>76</v>
      </c>
      <c r="E69" s="18" t="s">
        <v>174</v>
      </c>
    </row>
    <row r="70" spans="1:5" s="15" customFormat="1" x14ac:dyDescent="0.3">
      <c r="A70" s="8">
        <v>69</v>
      </c>
      <c r="B70" s="9" t="s">
        <v>175</v>
      </c>
      <c r="C70" s="10" t="s">
        <v>176</v>
      </c>
      <c r="D70" s="10" t="s">
        <v>54</v>
      </c>
      <c r="E70" s="8" t="s">
        <v>177</v>
      </c>
    </row>
    <row r="71" spans="1:5" s="15" customFormat="1" x14ac:dyDescent="0.3">
      <c r="A71" s="8">
        <v>70</v>
      </c>
      <c r="B71" s="9" t="s">
        <v>178</v>
      </c>
      <c r="C71" s="10" t="s">
        <v>179</v>
      </c>
      <c r="D71" s="10" t="s">
        <v>180</v>
      </c>
      <c r="E71" s="8" t="s">
        <v>181</v>
      </c>
    </row>
    <row r="72" spans="1:5" s="15" customFormat="1" x14ac:dyDescent="0.3">
      <c r="A72" s="8">
        <v>71</v>
      </c>
      <c r="B72" s="9" t="s">
        <v>182</v>
      </c>
      <c r="C72" s="10" t="s">
        <v>183</v>
      </c>
      <c r="D72" s="10" t="s">
        <v>54</v>
      </c>
      <c r="E72" s="8" t="s">
        <v>181</v>
      </c>
    </row>
    <row r="73" spans="1:5" s="15" customFormat="1" x14ac:dyDescent="0.3">
      <c r="A73" s="8">
        <v>72</v>
      </c>
      <c r="B73" s="11" t="s">
        <v>184</v>
      </c>
      <c r="C73" s="13" t="s">
        <v>185</v>
      </c>
      <c r="D73" s="11" t="s">
        <v>51</v>
      </c>
      <c r="E73" s="16" t="s">
        <v>181</v>
      </c>
    </row>
    <row r="74" spans="1:5" s="15" customFormat="1" x14ac:dyDescent="0.3">
      <c r="A74" s="8">
        <v>73</v>
      </c>
      <c r="B74" s="9" t="s">
        <v>186</v>
      </c>
      <c r="C74" s="10" t="s">
        <v>187</v>
      </c>
      <c r="D74" s="10" t="s">
        <v>188</v>
      </c>
      <c r="E74" s="16" t="s">
        <v>181</v>
      </c>
    </row>
    <row r="75" spans="1:5" s="15" customFormat="1" x14ac:dyDescent="0.3">
      <c r="A75" s="8">
        <v>74</v>
      </c>
      <c r="B75" s="9" t="s">
        <v>189</v>
      </c>
      <c r="C75" s="14" t="s">
        <v>190</v>
      </c>
      <c r="D75" s="10" t="s">
        <v>191</v>
      </c>
      <c r="E75" s="16" t="s">
        <v>181</v>
      </c>
    </row>
    <row r="76" spans="1:5" s="15" customFormat="1" x14ac:dyDescent="0.3">
      <c r="A76" s="8">
        <v>75</v>
      </c>
      <c r="B76" s="9" t="s">
        <v>192</v>
      </c>
      <c r="C76" s="10" t="s">
        <v>193</v>
      </c>
      <c r="D76" s="10" t="s">
        <v>188</v>
      </c>
      <c r="E76" s="16" t="s">
        <v>181</v>
      </c>
    </row>
    <row r="77" spans="1:5" s="15" customFormat="1" x14ac:dyDescent="0.3">
      <c r="A77" s="8">
        <v>76</v>
      </c>
      <c r="B77" s="9" t="s">
        <v>194</v>
      </c>
      <c r="C77" s="14" t="s">
        <v>195</v>
      </c>
      <c r="D77" s="10" t="s">
        <v>196</v>
      </c>
      <c r="E77" s="8" t="s">
        <v>197</v>
      </c>
    </row>
    <row r="78" spans="1:5" s="15" customFormat="1" x14ac:dyDescent="0.3">
      <c r="A78" s="8">
        <v>77</v>
      </c>
      <c r="B78" s="9" t="s">
        <v>198</v>
      </c>
      <c r="C78" s="10" t="s">
        <v>199</v>
      </c>
      <c r="D78" s="10" t="s">
        <v>200</v>
      </c>
      <c r="E78" s="8" t="s">
        <v>197</v>
      </c>
    </row>
    <row r="79" spans="1:5" s="15" customFormat="1" x14ac:dyDescent="0.3">
      <c r="A79" s="8">
        <v>78</v>
      </c>
      <c r="B79" s="9" t="s">
        <v>201</v>
      </c>
      <c r="C79" s="10" t="s">
        <v>202</v>
      </c>
      <c r="D79" s="10" t="s">
        <v>203</v>
      </c>
      <c r="E79" s="8" t="s">
        <v>197</v>
      </c>
    </row>
    <row r="80" spans="1:5" s="15" customFormat="1" x14ac:dyDescent="0.3">
      <c r="A80" s="8">
        <v>79</v>
      </c>
      <c r="B80" s="9" t="s">
        <v>204</v>
      </c>
      <c r="C80" s="10" t="s">
        <v>205</v>
      </c>
      <c r="D80" s="10" t="s">
        <v>206</v>
      </c>
      <c r="E80" s="8" t="s">
        <v>197</v>
      </c>
    </row>
    <row r="81" spans="1:5" x14ac:dyDescent="0.25">
      <c r="A81" s="8">
        <v>80</v>
      </c>
      <c r="B81" s="19" t="s">
        <v>207</v>
      </c>
      <c r="C81" s="19" t="s">
        <v>208</v>
      </c>
      <c r="D81" s="20" t="s">
        <v>6</v>
      </c>
      <c r="E81" s="21" t="s">
        <v>181</v>
      </c>
    </row>
    <row r="82" spans="1:5" x14ac:dyDescent="0.25">
      <c r="A82" s="8">
        <v>81</v>
      </c>
      <c r="B82" s="19" t="s">
        <v>209</v>
      </c>
      <c r="C82" s="19" t="s">
        <v>210</v>
      </c>
      <c r="D82" s="20" t="s">
        <v>6</v>
      </c>
      <c r="E82" s="21" t="s">
        <v>181</v>
      </c>
    </row>
    <row r="83" spans="1:5" x14ac:dyDescent="0.25">
      <c r="A83" s="8">
        <v>82</v>
      </c>
      <c r="B83" s="19" t="s">
        <v>211</v>
      </c>
      <c r="C83" s="19" t="s">
        <v>212</v>
      </c>
      <c r="D83" s="20" t="s">
        <v>6</v>
      </c>
      <c r="E83" s="21" t="s">
        <v>181</v>
      </c>
    </row>
    <row r="84" spans="1:5" x14ac:dyDescent="0.25">
      <c r="A84" s="8">
        <v>83</v>
      </c>
      <c r="B84" s="19" t="s">
        <v>213</v>
      </c>
      <c r="C84" s="19" t="s">
        <v>214</v>
      </c>
      <c r="D84" s="20" t="s">
        <v>6</v>
      </c>
      <c r="E84" s="21" t="s">
        <v>181</v>
      </c>
    </row>
    <row r="85" spans="1:5" x14ac:dyDescent="0.25">
      <c r="A85" s="8">
        <v>84</v>
      </c>
      <c r="B85" s="19" t="s">
        <v>215</v>
      </c>
      <c r="C85" s="19" t="s">
        <v>216</v>
      </c>
      <c r="D85" s="20" t="s">
        <v>6</v>
      </c>
      <c r="E85" s="21" t="s">
        <v>181</v>
      </c>
    </row>
    <row r="86" spans="1:5" x14ac:dyDescent="0.25">
      <c r="A86" s="8">
        <v>85</v>
      </c>
      <c r="B86" s="19" t="s">
        <v>217</v>
      </c>
      <c r="C86" s="19" t="s">
        <v>218</v>
      </c>
      <c r="D86" s="20" t="s">
        <v>219</v>
      </c>
      <c r="E86" s="21" t="s">
        <v>220</v>
      </c>
    </row>
    <row r="87" spans="1:5" x14ac:dyDescent="0.25">
      <c r="A87" s="8">
        <v>86</v>
      </c>
      <c r="B87" s="19" t="s">
        <v>221</v>
      </c>
      <c r="C87" s="19" t="s">
        <v>222</v>
      </c>
      <c r="D87" s="20" t="s">
        <v>223</v>
      </c>
      <c r="E87" s="21" t="s">
        <v>224</v>
      </c>
    </row>
    <row r="88" spans="1:5" x14ac:dyDescent="0.25">
      <c r="A88" s="8">
        <v>87</v>
      </c>
      <c r="B88" s="19" t="s">
        <v>225</v>
      </c>
      <c r="C88" s="19" t="s">
        <v>226</v>
      </c>
      <c r="D88" s="20" t="s">
        <v>223</v>
      </c>
      <c r="E88" s="21" t="s">
        <v>224</v>
      </c>
    </row>
    <row r="89" spans="1:5" x14ac:dyDescent="0.25">
      <c r="A89" s="8">
        <v>88</v>
      </c>
      <c r="B89" s="19" t="s">
        <v>227</v>
      </c>
      <c r="C89" s="19" t="s">
        <v>228</v>
      </c>
      <c r="D89" s="20" t="s">
        <v>223</v>
      </c>
      <c r="E89" s="21" t="s">
        <v>224</v>
      </c>
    </row>
    <row r="90" spans="1:5" x14ac:dyDescent="0.25">
      <c r="A90" s="8">
        <v>89</v>
      </c>
      <c r="B90" s="19" t="s">
        <v>229</v>
      </c>
      <c r="C90" s="19" t="s">
        <v>230</v>
      </c>
      <c r="D90" s="20" t="s">
        <v>6</v>
      </c>
      <c r="E90" s="21" t="s">
        <v>231</v>
      </c>
    </row>
    <row r="91" spans="1:5" x14ac:dyDescent="0.25">
      <c r="A91" s="8">
        <v>90</v>
      </c>
      <c r="B91" s="19" t="s">
        <v>232</v>
      </c>
      <c r="C91" s="19" t="s">
        <v>233</v>
      </c>
      <c r="D91" s="20" t="s">
        <v>6</v>
      </c>
      <c r="E91" s="21" t="s">
        <v>231</v>
      </c>
    </row>
    <row r="92" spans="1:5" x14ac:dyDescent="0.25">
      <c r="A92" s="8">
        <v>91</v>
      </c>
      <c r="B92" s="19" t="s">
        <v>234</v>
      </c>
      <c r="C92" s="19" t="s">
        <v>235</v>
      </c>
      <c r="D92" s="20" t="s">
        <v>6</v>
      </c>
      <c r="E92" s="21" t="s">
        <v>231</v>
      </c>
    </row>
    <row r="93" spans="1:5" x14ac:dyDescent="0.25">
      <c r="A93" s="8">
        <v>92</v>
      </c>
      <c r="B93" s="19" t="s">
        <v>236</v>
      </c>
      <c r="C93" s="19" t="s">
        <v>237</v>
      </c>
      <c r="D93" s="20" t="s">
        <v>6</v>
      </c>
      <c r="E93" s="21" t="s">
        <v>231</v>
      </c>
    </row>
    <row r="94" spans="1:5" x14ac:dyDescent="0.25">
      <c r="A94" s="8">
        <v>93</v>
      </c>
      <c r="B94" s="19" t="s">
        <v>238</v>
      </c>
      <c r="C94" s="19" t="s">
        <v>239</v>
      </c>
      <c r="D94" s="20" t="s">
        <v>6</v>
      </c>
      <c r="E94" s="21" t="s">
        <v>231</v>
      </c>
    </row>
    <row r="95" spans="1:5" x14ac:dyDescent="0.25">
      <c r="A95" s="8">
        <v>94</v>
      </c>
      <c r="B95" s="19" t="s">
        <v>240</v>
      </c>
      <c r="C95" s="19" t="s">
        <v>241</v>
      </c>
      <c r="D95" s="20" t="s">
        <v>6</v>
      </c>
      <c r="E95" s="21" t="s">
        <v>231</v>
      </c>
    </row>
    <row r="96" spans="1:5" x14ac:dyDescent="0.25">
      <c r="A96" s="8">
        <v>95</v>
      </c>
      <c r="B96" s="19" t="s">
        <v>242</v>
      </c>
      <c r="C96" s="19" t="s">
        <v>243</v>
      </c>
      <c r="D96" s="20" t="s">
        <v>6</v>
      </c>
      <c r="E96" s="21" t="s">
        <v>231</v>
      </c>
    </row>
    <row r="97" spans="1:5" x14ac:dyDescent="0.25">
      <c r="A97" s="8">
        <v>96</v>
      </c>
      <c r="B97" s="19" t="s">
        <v>244</v>
      </c>
      <c r="C97" s="19" t="s">
        <v>245</v>
      </c>
      <c r="D97" s="22" t="s">
        <v>6</v>
      </c>
      <c r="E97" s="23" t="s">
        <v>231</v>
      </c>
    </row>
    <row r="98" spans="1:5" x14ac:dyDescent="0.25">
      <c r="A98" s="8">
        <v>97</v>
      </c>
      <c r="B98" s="19" t="s">
        <v>246</v>
      </c>
      <c r="C98" s="19" t="s">
        <v>247</v>
      </c>
      <c r="D98" s="20" t="s">
        <v>248</v>
      </c>
      <c r="E98" s="21" t="s">
        <v>249</v>
      </c>
    </row>
    <row r="99" spans="1:5" x14ac:dyDescent="0.25">
      <c r="A99" s="8">
        <v>98</v>
      </c>
      <c r="B99" s="19" t="s">
        <v>250</v>
      </c>
      <c r="C99" s="19" t="s">
        <v>251</v>
      </c>
      <c r="D99" s="20" t="s">
        <v>248</v>
      </c>
      <c r="E99" s="21" t="s">
        <v>249</v>
      </c>
    </row>
    <row r="100" spans="1:5" x14ac:dyDescent="0.25">
      <c r="A100" s="8">
        <v>99</v>
      </c>
      <c r="B100" s="19" t="s">
        <v>252</v>
      </c>
      <c r="C100" s="19" t="s">
        <v>253</v>
      </c>
      <c r="D100" s="20" t="s">
        <v>248</v>
      </c>
      <c r="E100" s="21" t="s">
        <v>249</v>
      </c>
    </row>
    <row r="101" spans="1:5" x14ac:dyDescent="0.25">
      <c r="A101" s="8">
        <v>100</v>
      </c>
      <c r="B101" s="19" t="s">
        <v>254</v>
      </c>
      <c r="C101" s="19" t="s">
        <v>255</v>
      </c>
      <c r="D101" s="20" t="s">
        <v>248</v>
      </c>
      <c r="E101" s="21" t="s">
        <v>249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Database</vt:lpstr>
      <vt:lpstr>Filter</vt:lpstr>
      <vt:lpstr>ComboBox</vt:lpstr>
      <vt:lpstr>Filter!Criteria</vt:lpstr>
      <vt:lpstr>Filter!Extract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Arrafi Andersont</dc:creator>
  <cp:lastModifiedBy>Arrafi Andersont</cp:lastModifiedBy>
  <dcterms:created xsi:type="dcterms:W3CDTF">2026-02-25T02:06:53Z</dcterms:created>
  <dcterms:modified xsi:type="dcterms:W3CDTF">2026-05-25T07:51:51Z</dcterms:modified>
</cp:coreProperties>
</file>